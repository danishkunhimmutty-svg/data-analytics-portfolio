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4" autoFilterDateGrouping="1"/>
  </bookViews>
  <sheets>
    <sheet xmlns:r="http://schemas.openxmlformats.org/officeDocument/2006/relationships" name="P. Input" sheetId="1" state="visible" r:id="rId1"/>
    <sheet xmlns:r="http://schemas.openxmlformats.org/officeDocument/2006/relationships" name="I. Profit_Loss" sheetId="2" state="visible" r:id="rId2"/>
    <sheet xmlns:r="http://schemas.openxmlformats.org/officeDocument/2006/relationships" name="I. Balance_Sheet" sheetId="3" state="visible" r:id="rId3"/>
    <sheet xmlns:r="http://schemas.openxmlformats.org/officeDocument/2006/relationships" name="I. Cashflow" sheetId="4" state="visible" r:id="rId4"/>
    <sheet xmlns:r="http://schemas.openxmlformats.org/officeDocument/2006/relationships" name="O. Report" sheetId="5" state="visible" r:id="rId5"/>
  </sheets>
  <definedNames>
    <definedName name="Auditor">'P. Input'!#REF!</definedName>
    <definedName name="CompanyName">'P. Input'!$C$2</definedName>
    <definedName name="Currency">'P. Input'!$C$6</definedName>
    <definedName name="DealStartDate">#REF!</definedName>
    <definedName name="EX_Yr1">'P. Input'!$C$12</definedName>
    <definedName name="FinancialYearEnd">'P. Input'!$C$3</definedName>
    <definedName name="FX_Yr1">'P. Input'!$C$12</definedName>
    <definedName name="FX_Yr2">'P. Input'!$D$12</definedName>
    <definedName name="FX_Yr3">#REF!</definedName>
    <definedName name="FX_Yr4">#REF!</definedName>
    <definedName name="FX_Yr5">#REF!</definedName>
    <definedName name="FX_Yr6">#REF!</definedName>
    <definedName name="FX_Yr7">#REF!</definedName>
    <definedName name="FX_Yr8">#REF!</definedName>
    <definedName name="Input_Multiplier">'P. Input'!$C$7</definedName>
    <definedName name="NumPriorAnnualReportsRecorded">'P. Input'!$C$5</definedName>
    <definedName name="PreviousFinancialYearEnd">'P. Input'!$C$4</definedName>
    <definedName name="Reporting_Multiplier">'P. Input'!$C$9</definedName>
    <definedName name="Units_Multiplier">'P. Input'!$G$9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-409]dd\-mmm\-yy"/>
    <numFmt numFmtId="165" formatCode="_-* #,##0_-;\-* #,##0_-;_-* &quot;-&quot;??_-;_-@"/>
    <numFmt numFmtId="166" formatCode="&quot;Auditor:&quot;\ @"/>
    <numFmt numFmtId="167" formatCode="_(* #,##0_);_(* \(#,##0\);_(* &quot;-&quot;??_);_(@_)"/>
    <numFmt numFmtId="168" formatCode="_-* #,##0.00\ _€_-;\-* #,##0.00\ _€_-;_-* &quot;-&quot;??\ _€_-;_-@"/>
    <numFmt numFmtId="169" formatCode="0.0%"/>
    <numFmt numFmtId="170" formatCode="_-* #,##0.00_-;\-* #,##0.00_-;_-* &quot;-&quot;??_-;_-@"/>
    <numFmt numFmtId="171" formatCode="_-* #,##0.00_-;\-* #,##0.00_-;_-* &quot;-&quot;??_-;_-@_-"/>
  </numFmts>
  <fonts count="12">
    <font>
      <name val="Calibri"/>
      <color theme="1"/>
      <sz val="11"/>
      <scheme val="minor"/>
    </font>
    <font>
      <name val="Calibri"/>
      <family val="2"/>
      <color theme="1"/>
      <sz val="9"/>
    </font>
    <font>
      <name val="Calibri"/>
      <family val="2"/>
      <b val="1"/>
      <color theme="1"/>
      <sz val="9"/>
    </font>
    <font>
      <name val="Calibri"/>
      <family val="2"/>
      <color theme="0"/>
      <sz val="9"/>
    </font>
    <font>
      <name val="Calibri"/>
      <family val="2"/>
      <b val="1"/>
      <color theme="0"/>
      <sz val="9"/>
    </font>
    <font>
      <name val="Calibri"/>
      <family val="2"/>
      <b val="1"/>
      <color rgb="FF1E4E79"/>
      <sz val="12"/>
    </font>
    <font>
      <name val="Calibri"/>
      <family val="2"/>
      <b val="1"/>
      <i val="1"/>
      <color rgb="FF1E4E79"/>
      <sz val="9"/>
    </font>
    <font>
      <name val="Calibri"/>
      <family val="2"/>
      <i val="1"/>
      <color rgb="FF7F7F7F"/>
      <sz val="9"/>
    </font>
    <font>
      <name val="Calibri"/>
      <family val="2"/>
      <i val="1"/>
      <color rgb="FFBFBFBF"/>
      <sz val="9"/>
    </font>
    <font>
      <name val="Calibri"/>
      <family val="2"/>
      <b val="1"/>
      <color rgb="FF006100"/>
      <sz val="9"/>
    </font>
    <font>
      <name val="Calibri"/>
      <family val="2"/>
      <color theme="1"/>
      <sz val="11"/>
      <scheme val="minor"/>
    </font>
    <font>
      <name val="Calibri"/>
      <family val="2"/>
      <color theme="1"/>
      <sz val="9"/>
    </font>
  </fonts>
  <fills count="11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9C0006"/>
        <bgColor rgb="FF9C0006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C6EFCE"/>
        <bgColor rgb="FFC6EFCE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1"/>
    <xf numFmtId="43" fontId="10" fillId="0" borderId="1"/>
  </cellStyleXfs>
  <cellXfs count="9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164" fontId="1" fillId="2" borderId="1" applyAlignment="1" pivotButton="0" quotePrefix="0" xfId="0">
      <alignment horizontal="left"/>
    </xf>
    <xf numFmtId="0" fontId="1" fillId="3" borderId="1" pivotButton="0" quotePrefix="0" xfId="0"/>
    <xf numFmtId="0" fontId="1" fillId="4" borderId="1" pivotButton="0" quotePrefix="0" xfId="0"/>
    <xf numFmtId="0" fontId="1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1" fillId="2" borderId="1" applyAlignment="1" pivotButton="0" quotePrefix="1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1" xfId="0">
      <alignment horizontal="left"/>
    </xf>
    <xf numFmtId="0" fontId="4" fillId="0" borderId="0" pivotButton="0" quotePrefix="0" xfId="0"/>
    <xf numFmtId="164" fontId="4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5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pivotButton="0" quotePrefix="0" xfId="0"/>
    <xf numFmtId="166" fontId="7" fillId="0" borderId="0" applyAlignment="1" pivotButton="0" quotePrefix="0" xfId="0">
      <alignment horizontal="right" vertical="top"/>
    </xf>
    <xf numFmtId="0" fontId="8" fillId="0" borderId="0" applyAlignment="1" pivotButton="0" quotePrefix="0" xfId="0">
      <alignment horizontal="right"/>
    </xf>
    <xf numFmtId="0" fontId="4" fillId="5" borderId="2" pivotButton="0" quotePrefix="0" xfId="0"/>
    <xf numFmtId="164" fontId="4" fillId="5" borderId="2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167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left"/>
    </xf>
    <xf numFmtId="0" fontId="7" fillId="0" borderId="5" applyAlignment="1" pivotButton="0" quotePrefix="0" xfId="0">
      <alignment horizontal="right"/>
    </xf>
    <xf numFmtId="9" fontId="7" fillId="0" borderId="5" applyAlignment="1" pivotButton="0" quotePrefix="0" xfId="0">
      <alignment horizontal="right"/>
    </xf>
    <xf numFmtId="0" fontId="2" fillId="6" borderId="6" pivotButton="0" quotePrefix="0" xfId="0"/>
    <xf numFmtId="167" fontId="2" fillId="6" borderId="6" applyAlignment="1" pivotButton="0" quotePrefix="0" xfId="0">
      <alignment horizontal="right"/>
    </xf>
    <xf numFmtId="0" fontId="1" fillId="0" borderId="3" applyAlignment="1" pivotButton="0" quotePrefix="0" xfId="0">
      <alignment horizontal="left"/>
    </xf>
    <xf numFmtId="167" fontId="1" fillId="3" borderId="7" applyAlignment="1" pivotButton="0" quotePrefix="0" xfId="0">
      <alignment horizontal="right"/>
    </xf>
    <xf numFmtId="0" fontId="2" fillId="7" borderId="6" pivotButton="0" quotePrefix="0" xfId="0"/>
    <xf numFmtId="0" fontId="1" fillId="0" borderId="0" applyAlignment="1" pivotButton="0" quotePrefix="0" xfId="0">
      <alignment horizontal="left" wrapText="1"/>
    </xf>
    <xf numFmtId="0" fontId="4" fillId="8" borderId="6" pivotButton="0" quotePrefix="0" xfId="0"/>
    <xf numFmtId="167" fontId="4" fillId="8" borderId="6" applyAlignment="1" pivotButton="0" quotePrefix="0" xfId="0">
      <alignment horizontal="right"/>
    </xf>
    <xf numFmtId="168" fontId="1" fillId="0" borderId="0" applyAlignment="1" pivotButton="0" quotePrefix="0" xfId="0">
      <alignment horizontal="right"/>
    </xf>
    <xf numFmtId="0" fontId="2" fillId="0" borderId="8" pivotButton="0" quotePrefix="0" xfId="0"/>
    <xf numFmtId="168" fontId="2" fillId="0" borderId="8" applyAlignment="1" pivotButton="0" quotePrefix="0" xfId="0">
      <alignment horizontal="right"/>
    </xf>
    <xf numFmtId="0" fontId="1" fillId="0" borderId="3" pivotButton="0" quotePrefix="0" xfId="0"/>
    <xf numFmtId="167" fontId="1" fillId="0" borderId="3" applyAlignment="1" pivotButton="0" quotePrefix="0" xfId="0">
      <alignment horizontal="right"/>
    </xf>
    <xf numFmtId="0" fontId="2" fillId="0" borderId="5" pivotButton="0" quotePrefix="0" xfId="0"/>
    <xf numFmtId="167" fontId="2" fillId="0" borderId="5" applyAlignment="1" pivotButton="0" quotePrefix="0" xfId="0">
      <alignment horizontal="right"/>
    </xf>
    <xf numFmtId="167" fontId="2" fillId="7" borderId="6" applyAlignment="1" pivotButton="0" quotePrefix="0" xfId="0">
      <alignment horizontal="right"/>
    </xf>
    <xf numFmtId="0" fontId="7" fillId="0" borderId="9" applyAlignment="1" pivotButton="0" quotePrefix="0" xfId="0">
      <alignment horizontal="right"/>
    </xf>
    <xf numFmtId="9" fontId="7" fillId="0" borderId="9" applyAlignment="1" pivotButton="0" quotePrefix="0" xfId="0">
      <alignment horizontal="right"/>
    </xf>
    <xf numFmtId="0" fontId="2" fillId="0" borderId="8" applyAlignment="1" pivotButton="0" quotePrefix="0" xfId="0">
      <alignment horizontal="right"/>
    </xf>
    <xf numFmtId="0" fontId="2" fillId="0" borderId="3" pivotButton="0" quotePrefix="0" xfId="0"/>
    <xf numFmtId="168" fontId="2" fillId="0" borderId="3" applyAlignment="1" pivotButton="0" quotePrefix="0" xfId="0">
      <alignment horizontal="right"/>
    </xf>
    <xf numFmtId="0" fontId="2" fillId="9" borderId="6" pivotButton="0" quotePrefix="0" xfId="0"/>
    <xf numFmtId="167" fontId="2" fillId="9" borderId="6" applyAlignment="1" pivotButton="0" quotePrefix="0" xfId="0">
      <alignment horizontal="right"/>
    </xf>
    <xf numFmtId="0" fontId="1" fillId="0" borderId="9" applyAlignment="1" pivotButton="0" quotePrefix="0" xfId="0">
      <alignment horizontal="left"/>
    </xf>
    <xf numFmtId="0" fontId="9" fillId="10" borderId="10" pivotButton="0" quotePrefix="0" xfId="0"/>
    <xf numFmtId="167" fontId="2" fillId="0" borderId="11" applyAlignment="1" pivotButton="0" quotePrefix="0" xfId="0">
      <alignment horizontal="right"/>
    </xf>
    <xf numFmtId="167" fontId="1" fillId="0" borderId="9" applyAlignment="1" pivotButton="0" quotePrefix="0" xfId="0">
      <alignment horizontal="right"/>
    </xf>
    <xf numFmtId="167" fontId="1" fillId="0" borderId="5" applyAlignment="1" pivotButton="0" quotePrefix="0" xfId="0">
      <alignment horizontal="right"/>
    </xf>
    <xf numFmtId="167" fontId="1" fillId="0" borderId="0" applyAlignment="1" pivotButton="0" quotePrefix="0" xfId="0">
      <alignment horizontal="right"/>
    </xf>
    <xf numFmtId="167" fontId="1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7" fontId="2" fillId="0" borderId="12" applyAlignment="1" pivotButton="0" quotePrefix="0" xfId="0">
      <alignment horizontal="right"/>
    </xf>
    <xf numFmtId="0" fontId="2" fillId="0" borderId="12" pivotButton="0" quotePrefix="0" xfId="0"/>
    <xf numFmtId="168" fontId="2" fillId="0" borderId="0" applyAlignment="1" pivotButton="0" quotePrefix="0" xfId="0">
      <alignment horizontal="right"/>
    </xf>
    <xf numFmtId="167" fontId="2" fillId="0" borderId="13" applyAlignment="1" pivotButton="0" quotePrefix="0" xfId="0">
      <alignment horizontal="right"/>
    </xf>
    <xf numFmtId="167" fontId="1" fillId="0" borderId="13" applyAlignment="1" pivotButton="0" quotePrefix="0" xfId="0">
      <alignment horizontal="right"/>
    </xf>
    <xf numFmtId="167" fontId="1" fillId="3" borderId="6" applyAlignment="1" pivotButton="0" quotePrefix="0" xfId="0">
      <alignment horizontal="right"/>
    </xf>
    <xf numFmtId="167" fontId="1" fillId="0" borderId="12" applyAlignment="1" pivotButton="0" quotePrefix="0" xfId="0">
      <alignment horizontal="right"/>
    </xf>
    <xf numFmtId="0" fontId="2" fillId="0" borderId="9" pivotButton="0" quotePrefix="0" xfId="0"/>
    <xf numFmtId="0" fontId="1" fillId="0" borderId="5" pivotButton="0" quotePrefix="0" xfId="0"/>
    <xf numFmtId="167" fontId="1" fillId="6" borderId="4" applyAlignment="1" pivotButton="0" quotePrefix="0" xfId="0">
      <alignment horizontal="right"/>
    </xf>
    <xf numFmtId="9" fontId="1" fillId="0" borderId="0" pivotButton="0" quotePrefix="0" xfId="0"/>
    <xf numFmtId="167" fontId="1" fillId="0" borderId="0" pivotButton="0" quotePrefix="0" xfId="0"/>
    <xf numFmtId="168" fontId="1" fillId="0" borderId="0" applyAlignment="1" pivotButton="0" quotePrefix="0" xfId="0">
      <alignment horizontal="left" wrapText="1"/>
    </xf>
    <xf numFmtId="169" fontId="1" fillId="0" borderId="0" pivotButton="0" quotePrefix="0" xfId="0"/>
    <xf numFmtId="169" fontId="1" fillId="0" borderId="5" applyAlignment="1" pivotButton="0" quotePrefix="0" xfId="0">
      <alignment horizontal="right"/>
    </xf>
    <xf numFmtId="43" fontId="1" fillId="0" borderId="5" applyAlignment="1" pivotButton="0" quotePrefix="0" xfId="0">
      <alignment horizontal="right"/>
    </xf>
    <xf numFmtId="170" fontId="1" fillId="0" borderId="0" pivotButton="0" quotePrefix="0" xfId="0"/>
    <xf numFmtId="171" fontId="1" fillId="0" borderId="0" pivotButton="0" quotePrefix="0" xfId="0"/>
    <xf numFmtId="171" fontId="1" fillId="0" borderId="0" pivotButton="0" quotePrefix="0" xfId="1"/>
    <xf numFmtId="0" fontId="1" fillId="0" borderId="0" applyAlignment="1" pivotButton="0" quotePrefix="0" xfId="0">
      <alignment wrapText="1"/>
    </xf>
    <xf numFmtId="166" fontId="7" fillId="0" borderId="0" applyAlignment="1" pivotButton="0" quotePrefix="0" xfId="0">
      <alignment horizontal="right" vertical="top" wrapText="1"/>
    </xf>
    <xf numFmtId="164" fontId="4" fillId="5" borderId="2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1" fillId="0" borderId="5" pivotButton="0" quotePrefix="0" xfId="0"/>
    <xf numFmtId="167" fontId="1" fillId="3" borderId="5" applyAlignment="1" pivotButton="0" quotePrefix="0" xfId="0">
      <alignment horizontal="left" wrapText="1"/>
    </xf>
    <xf numFmtId="168" fontId="2" fillId="0" borderId="7" applyAlignment="1" pivotButton="0" quotePrefix="0" xfId="0">
      <alignment horizontal="left" wrapText="1"/>
    </xf>
    <xf numFmtId="0" fontId="1" fillId="3" borderId="5" applyAlignment="1" pivotButton="0" quotePrefix="0" xfId="0">
      <alignment horizontal="left" wrapText="1"/>
    </xf>
    <xf numFmtId="43" fontId="1" fillId="3" borderId="5" applyAlignment="1" pivotButton="0" quotePrefix="0" xfId="0">
      <alignment horizontal="left" wrapText="1"/>
    </xf>
    <xf numFmtId="0" fontId="1" fillId="0" borderId="0" applyAlignment="1" pivotButton="0" quotePrefix="0" xfId="0">
      <alignment horizontal="left" indent="1"/>
    </xf>
    <xf numFmtId="10" fontId="1" fillId="0" borderId="5" applyAlignment="1" pivotButton="0" quotePrefix="0" xfId="0">
      <alignment horizontal="right"/>
    </xf>
    <xf numFmtId="43" fontId="1" fillId="0" borderId="0" pivotButton="0" quotePrefix="0" xfId="0"/>
    <xf numFmtId="171" fontId="1" fillId="0" borderId="0" pivotButton="0" quotePrefix="0" xfId="0"/>
    <xf numFmtId="43" fontId="1" fillId="0" borderId="0" pivotButton="0" quotePrefix="0" xfId="0"/>
    <xf numFmtId="43" fontId="1" fillId="0" borderId="5" applyAlignment="1" pivotButton="0" quotePrefix="0" xfId="0">
      <alignment horizontal="right"/>
    </xf>
    <xf numFmtId="43" fontId="1" fillId="3" borderId="5" applyAlignment="1" pivotButton="0" quotePrefix="0" xfId="0">
      <alignment horizontal="left" wrapText="1"/>
    </xf>
    <xf numFmtId="171" fontId="1" fillId="0" borderId="0" pivotButton="0" quotePrefix="0" xfId="1"/>
    <xf numFmtId="170" fontId="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D9E2F3"/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2578125" defaultRowHeight="15" customHeight="1"/>
  <cols>
    <col width="1.5703125" customWidth="1" min="1" max="1"/>
    <col width="34" customWidth="1" min="2" max="2"/>
    <col width="12" customWidth="1" min="3" max="4"/>
    <col width="8.7109375" customWidth="1" min="5" max="26"/>
  </cols>
  <sheetData>
    <row r="1" ht="12" customHeight="1">
      <c r="A1" s="9" t="n"/>
      <c r="B1" s="9" t="n"/>
      <c r="C1" s="2" t="n"/>
      <c r="D1" s="9" t="n"/>
      <c r="E1" s="3" t="inlineStr">
        <is>
          <t>LEGEND</t>
        </is>
      </c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2" customHeight="1">
      <c r="A2" s="9" t="n"/>
      <c r="B2" s="9" t="inlineStr">
        <is>
          <t>Company Name</t>
        </is>
      </c>
      <c r="C2" s="4" t="inlineStr">
        <is>
          <t>Green Solutions Manufacturing Ltd.</t>
        </is>
      </c>
      <c r="D2" s="9" t="n"/>
      <c r="E2" s="5" t="inlineStr">
        <is>
          <t>Parameters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2" customHeight="1">
      <c r="A3" s="9" t="n"/>
      <c r="B3" s="9" t="inlineStr">
        <is>
          <t>Financial Year End</t>
        </is>
      </c>
      <c r="C3" s="6" t="n">
        <v>45291</v>
      </c>
      <c r="D3" s="9" t="n"/>
      <c r="E3" s="7" t="inlineStr">
        <is>
          <t>User Inputs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2" customHeight="1">
      <c r="A4" s="9" t="n"/>
      <c r="B4" s="9" t="inlineStr">
        <is>
          <t>Date Of Previous Financial Year End</t>
        </is>
      </c>
      <c r="C4" s="6" t="n">
        <v>44926</v>
      </c>
      <c r="D4" s="9" t="n"/>
      <c r="E4" s="8" t="inlineStr">
        <is>
          <t>Output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2" customHeight="1">
      <c r="A5" s="9" t="n"/>
      <c r="B5" s="9" t="inlineStr">
        <is>
          <t># of Prior Year Annual Reports Recorded</t>
        </is>
      </c>
      <c r="C5" s="4" t="n">
        <v>1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2" customHeight="1">
      <c r="A6" s="9" t="n"/>
      <c r="B6" s="9" t="inlineStr">
        <is>
          <t>Input Currency</t>
        </is>
      </c>
      <c r="C6" s="4" t="inlineStr">
        <is>
          <t>£</t>
        </is>
      </c>
      <c r="D6" s="10" t="n"/>
      <c r="E6" s="10" t="n"/>
      <c r="F6" s="10" t="inlineStr">
        <is>
          <t>Ones</t>
        </is>
      </c>
      <c r="G6" s="11" t="n">
        <v>1</v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" customHeight="1">
      <c r="A7" s="9" t="n"/>
      <c r="B7" s="9" t="inlineStr">
        <is>
          <t>Input Multiplier</t>
        </is>
      </c>
      <c r="C7" s="12" t="inlineStr">
        <is>
          <t>Thousands</t>
        </is>
      </c>
      <c r="D7" s="10">
        <f>$C$6&amp;IF($C7="Ones","",IF($C7="Thousands","'K","'M"))</f>
        <v/>
      </c>
      <c r="E7" s="10" t="n"/>
      <c r="F7" s="10" t="inlineStr">
        <is>
          <t>Thousands</t>
        </is>
      </c>
      <c r="G7" s="11" t="n">
        <v>1000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" customHeight="1">
      <c r="A8" s="10" t="n"/>
      <c r="B8" s="10" t="n"/>
      <c r="C8" s="13" t="inlineStr">
        <is>
          <t>$</t>
        </is>
      </c>
      <c r="D8" s="10" t="n"/>
      <c r="E8" s="10" t="n"/>
      <c r="F8" s="10" t="inlineStr">
        <is>
          <t>Millions</t>
        </is>
      </c>
      <c r="G8" s="11" t="n">
        <v>1000000</v>
      </c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2" customHeight="1">
      <c r="A9" s="10" t="n"/>
      <c r="B9" s="10" t="n"/>
      <c r="C9" s="14" t="inlineStr">
        <is>
          <t>Millions</t>
        </is>
      </c>
      <c r="D9" s="10">
        <f>$C$6&amp;IF($C9="Ones","",IF($C9="Thousands","'K","'M"))</f>
        <v/>
      </c>
      <c r="E9" s="10">
        <f>$C$8&amp;IF($C9="Ones","",IF($C9="Thousands","'K","'M"))</f>
        <v/>
      </c>
      <c r="F9" s="10" t="inlineStr">
        <is>
          <t>Units Multiplier</t>
        </is>
      </c>
      <c r="G9" s="11">
        <f>VLOOKUP(Input_Multiplier,F6:G8,2,FALSE)/VLOOKUP(Reporting_Multiplier,F6:G8,2,FALSE)</f>
        <v/>
      </c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2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2" customHeight="1">
      <c r="A11" s="10" t="n"/>
      <c r="B11" s="15" t="inlineStr">
        <is>
          <t>Exchange Rate</t>
        </is>
      </c>
      <c r="C11" s="16">
        <f>EDATE(FinancialYearEnd,-12*NumPriorAnnualReportsRecorded)</f>
        <v/>
      </c>
      <c r="D11" s="16">
        <f>EDATE(C11,12)</f>
        <v/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2" customHeight="1">
      <c r="A12" s="10" t="n"/>
      <c r="B12" s="10">
        <f>Currency&amp;"--&gt;"&amp;C8</f>
        <v/>
      </c>
      <c r="C12" s="17" t="n">
        <v>1</v>
      </c>
      <c r="D12" s="17" t="n">
        <v>1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2" customHeight="1">
      <c r="A13" s="9" t="n"/>
      <c r="B13" s="9" t="n"/>
      <c r="C13" s="2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2" customHeight="1">
      <c r="A14" s="9" t="n"/>
      <c r="B14" s="9" t="n"/>
      <c r="C14" s="2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2" customHeight="1">
      <c r="A15" s="9" t="n"/>
      <c r="B15" s="9" t="n"/>
      <c r="C15" s="2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2" customHeight="1">
      <c r="A16" s="9" t="n"/>
      <c r="B16" s="9" t="n"/>
      <c r="C16" s="2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2" customHeight="1">
      <c r="A17" s="9" t="n"/>
      <c r="B17" s="9" t="n"/>
      <c r="C17" s="2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2" customHeight="1">
      <c r="A18" s="9" t="n"/>
      <c r="B18" s="9" t="n"/>
      <c r="C18" s="2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" customHeight="1">
      <c r="A19" s="9" t="n"/>
      <c r="B19" s="9" t="n"/>
      <c r="C19" s="2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" customHeight="1">
      <c r="A20" s="9" t="n"/>
      <c r="B20" s="9" t="n"/>
      <c r="C20" s="2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" customHeight="1">
      <c r="A21" s="9" t="n"/>
      <c r="B21" s="9" t="n"/>
      <c r="C21" s="2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" customHeight="1">
      <c r="A22" s="9" t="n"/>
      <c r="B22" s="9" t="n"/>
      <c r="C22" s="2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" customHeight="1">
      <c r="A23" s="9" t="n"/>
      <c r="B23" s="9" t="n"/>
      <c r="C23" s="2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" customHeight="1">
      <c r="A24" s="9" t="n"/>
      <c r="B24" s="9" t="n"/>
      <c r="C24" s="2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" customHeight="1">
      <c r="A25" s="9" t="n"/>
      <c r="B25" s="9" t="n"/>
      <c r="C25" s="2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" customHeight="1">
      <c r="A26" s="9" t="n"/>
      <c r="B26" s="9" t="n"/>
      <c r="C26" s="2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" customHeight="1">
      <c r="A27" s="9" t="n"/>
      <c r="B27" s="9" t="n"/>
      <c r="C27" s="2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" customHeight="1">
      <c r="A28" s="9" t="n"/>
      <c r="B28" s="9" t="n"/>
      <c r="C28" s="2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" customHeight="1">
      <c r="A29" s="9" t="n"/>
      <c r="B29" s="9" t="n"/>
      <c r="C29" s="2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" customHeight="1">
      <c r="A30" s="9" t="n"/>
      <c r="B30" s="9" t="n"/>
      <c r="C30" s="2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" customHeight="1">
      <c r="A31" s="9" t="n"/>
      <c r="B31" s="9" t="n"/>
      <c r="C31" s="2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" customHeight="1">
      <c r="A32" s="9" t="n"/>
      <c r="B32" s="9" t="n"/>
      <c r="C32" s="2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" customHeight="1">
      <c r="A33" s="9" t="n"/>
      <c r="B33" s="9" t="n"/>
      <c r="C33" s="2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" customHeight="1">
      <c r="A34" s="9" t="n"/>
      <c r="B34" s="9" t="n"/>
      <c r="C34" s="2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" customHeight="1">
      <c r="A35" s="9" t="n"/>
      <c r="B35" s="9" t="n"/>
      <c r="C35" s="2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" customHeight="1">
      <c r="A36" s="9" t="n"/>
      <c r="B36" s="9" t="n"/>
      <c r="C36" s="2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" customHeight="1">
      <c r="A37" s="9" t="n"/>
      <c r="B37" s="9" t="n"/>
      <c r="C37" s="2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" customHeight="1">
      <c r="A38" s="9" t="n"/>
      <c r="B38" s="9" t="n"/>
      <c r="C38" s="2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" customHeight="1">
      <c r="A39" s="9" t="n"/>
      <c r="B39" s="9" t="n"/>
      <c r="C39" s="2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" customHeight="1">
      <c r="A40" s="9" t="n"/>
      <c r="B40" s="9" t="n"/>
      <c r="C40" s="2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" customHeight="1">
      <c r="A41" s="9" t="n"/>
      <c r="B41" s="9" t="n"/>
      <c r="C41" s="2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" customHeight="1">
      <c r="A42" s="9" t="n"/>
      <c r="B42" s="9" t="n"/>
      <c r="C42" s="2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" customHeight="1">
      <c r="A43" s="9" t="n"/>
      <c r="B43" s="9" t="n"/>
      <c r="C43" s="2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" customHeight="1">
      <c r="A44" s="9" t="n"/>
      <c r="B44" s="9" t="n"/>
      <c r="C44" s="2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" customHeight="1">
      <c r="A45" s="9" t="n"/>
      <c r="B45" s="9" t="n"/>
      <c r="C45" s="2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" customHeight="1">
      <c r="A46" s="9" t="n"/>
      <c r="B46" s="9" t="n"/>
      <c r="C46" s="2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" customHeight="1">
      <c r="A47" s="9" t="n"/>
      <c r="B47" s="9" t="n"/>
      <c r="C47" s="2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" customHeight="1">
      <c r="A48" s="9" t="n"/>
      <c r="B48" s="9" t="n"/>
      <c r="C48" s="2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" customHeight="1">
      <c r="A49" s="9" t="n"/>
      <c r="B49" s="9" t="n"/>
      <c r="C49" s="2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" customHeight="1">
      <c r="A50" s="9" t="n"/>
      <c r="B50" s="9" t="n"/>
      <c r="C50" s="2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" customHeight="1">
      <c r="A51" s="9" t="n"/>
      <c r="B51" s="9" t="n"/>
      <c r="C51" s="2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" customHeight="1">
      <c r="A52" s="9" t="n"/>
      <c r="B52" s="9" t="n"/>
      <c r="C52" s="2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" customHeight="1">
      <c r="A53" s="9" t="n"/>
      <c r="B53" s="9" t="n"/>
      <c r="C53" s="2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" customHeight="1">
      <c r="A54" s="9" t="n"/>
      <c r="B54" s="9" t="n"/>
      <c r="C54" s="2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" customHeight="1">
      <c r="A55" s="9" t="n"/>
      <c r="B55" s="9" t="n"/>
      <c r="C55" s="2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" customHeight="1">
      <c r="A56" s="9" t="n"/>
      <c r="B56" s="9" t="n"/>
      <c r="C56" s="2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" customHeight="1">
      <c r="A57" s="9" t="n"/>
      <c r="B57" s="9" t="n"/>
      <c r="C57" s="2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" customHeight="1">
      <c r="A58" s="9" t="n"/>
      <c r="B58" s="9" t="n"/>
      <c r="C58" s="2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" customHeight="1">
      <c r="A59" s="9" t="n"/>
      <c r="B59" s="9" t="n"/>
      <c r="C59" s="2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" customHeight="1">
      <c r="A60" s="9" t="n"/>
      <c r="B60" s="9" t="n"/>
      <c r="C60" s="2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" customHeight="1">
      <c r="A61" s="9" t="n"/>
      <c r="B61" s="9" t="n"/>
      <c r="C61" s="2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" customHeight="1">
      <c r="A62" s="9" t="n"/>
      <c r="B62" s="9" t="n"/>
      <c r="C62" s="2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" customHeight="1">
      <c r="A63" s="9" t="n"/>
      <c r="B63" s="9" t="n"/>
      <c r="C63" s="2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" customHeight="1">
      <c r="A64" s="9" t="n"/>
      <c r="B64" s="9" t="n"/>
      <c r="C64" s="2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" customHeight="1">
      <c r="A65" s="9" t="n"/>
      <c r="B65" s="9" t="n"/>
      <c r="C65" s="2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" customHeight="1">
      <c r="A66" s="9" t="n"/>
      <c r="B66" s="9" t="n"/>
      <c r="C66" s="2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" customHeight="1">
      <c r="A67" s="9" t="n"/>
      <c r="B67" s="9" t="n"/>
      <c r="C67" s="2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" customHeight="1">
      <c r="A68" s="9" t="n"/>
      <c r="B68" s="9" t="n"/>
      <c r="C68" s="2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" customHeight="1">
      <c r="A69" s="9" t="n"/>
      <c r="B69" s="9" t="n"/>
      <c r="C69" s="2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" customHeight="1">
      <c r="A70" s="9" t="n"/>
      <c r="B70" s="9" t="n"/>
      <c r="C70" s="2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" customHeight="1">
      <c r="A71" s="9" t="n"/>
      <c r="B71" s="9" t="n"/>
      <c r="C71" s="2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" customHeight="1">
      <c r="A72" s="9" t="n"/>
      <c r="B72" s="9" t="n"/>
      <c r="C72" s="2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" customHeight="1">
      <c r="A73" s="9" t="n"/>
      <c r="B73" s="9" t="n"/>
      <c r="C73" s="2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" customHeight="1">
      <c r="A74" s="9" t="n"/>
      <c r="B74" s="9" t="n"/>
      <c r="C74" s="2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" customHeight="1">
      <c r="A75" s="9" t="n"/>
      <c r="B75" s="9" t="n"/>
      <c r="C75" s="2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" customHeight="1">
      <c r="A76" s="9" t="n"/>
      <c r="B76" s="9" t="n"/>
      <c r="C76" s="2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" customHeight="1">
      <c r="A77" s="9" t="n"/>
      <c r="B77" s="9" t="n"/>
      <c r="C77" s="2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" customHeight="1">
      <c r="A78" s="9" t="n"/>
      <c r="B78" s="9" t="n"/>
      <c r="C78" s="2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" customHeight="1">
      <c r="A79" s="9" t="n"/>
      <c r="B79" s="9" t="n"/>
      <c r="C79" s="2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" customHeight="1">
      <c r="A80" s="9" t="n"/>
      <c r="B80" s="9" t="n"/>
      <c r="C80" s="2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" customHeight="1">
      <c r="A81" s="9" t="n"/>
      <c r="B81" s="9" t="n"/>
      <c r="C81" s="2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" customHeight="1">
      <c r="A82" s="9" t="n"/>
      <c r="B82" s="9" t="n"/>
      <c r="C82" s="2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" customHeight="1">
      <c r="A83" s="9" t="n"/>
      <c r="B83" s="9" t="n"/>
      <c r="C83" s="2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" customHeight="1">
      <c r="A84" s="9" t="n"/>
      <c r="B84" s="9" t="n"/>
      <c r="C84" s="2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" customHeight="1">
      <c r="A85" s="9" t="n"/>
      <c r="B85" s="9" t="n"/>
      <c r="C85" s="2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" customHeight="1">
      <c r="A86" s="9" t="n"/>
      <c r="B86" s="9" t="n"/>
      <c r="C86" s="2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" customHeight="1">
      <c r="A87" s="9" t="n"/>
      <c r="B87" s="9" t="n"/>
      <c r="C87" s="2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" customHeight="1">
      <c r="A88" s="9" t="n"/>
      <c r="B88" s="9" t="n"/>
      <c r="C88" s="2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" customHeight="1">
      <c r="A89" s="9" t="n"/>
      <c r="B89" s="9" t="n"/>
      <c r="C89" s="2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" customHeight="1">
      <c r="A90" s="9" t="n"/>
      <c r="B90" s="9" t="n"/>
      <c r="C90" s="2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" customHeight="1">
      <c r="A91" s="9" t="n"/>
      <c r="B91" s="9" t="n"/>
      <c r="C91" s="2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" customHeight="1">
      <c r="A92" s="9" t="n"/>
      <c r="B92" s="9" t="n"/>
      <c r="C92" s="2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" customHeight="1">
      <c r="A93" s="9" t="n"/>
      <c r="B93" s="9" t="n"/>
      <c r="C93" s="2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" customHeight="1">
      <c r="A94" s="9" t="n"/>
      <c r="B94" s="9" t="n"/>
      <c r="C94" s="2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" customHeight="1">
      <c r="A95" s="9" t="n"/>
      <c r="B95" s="9" t="n"/>
      <c r="C95" s="2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" customHeight="1">
      <c r="A96" s="9" t="n"/>
      <c r="B96" s="9" t="n"/>
      <c r="C96" s="2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" customHeight="1">
      <c r="A97" s="9" t="n"/>
      <c r="B97" s="9" t="n"/>
      <c r="C97" s="2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" customHeight="1">
      <c r="A98" s="9" t="n"/>
      <c r="B98" s="9" t="n"/>
      <c r="C98" s="2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" customHeight="1">
      <c r="A99" s="9" t="n"/>
      <c r="B99" s="9" t="n"/>
      <c r="C99" s="2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" customHeight="1">
      <c r="A100" s="9" t="n"/>
      <c r="B100" s="9" t="n"/>
      <c r="C100" s="2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" customHeight="1">
      <c r="A101" s="9" t="n"/>
      <c r="B101" s="9" t="n"/>
      <c r="C101" s="2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" customHeight="1">
      <c r="A102" s="9" t="n"/>
      <c r="B102" s="9" t="n"/>
      <c r="C102" s="2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" customHeight="1">
      <c r="A103" s="9" t="n"/>
      <c r="B103" s="9" t="n"/>
      <c r="C103" s="2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" customHeight="1">
      <c r="A104" s="9" t="n"/>
      <c r="B104" s="9" t="n"/>
      <c r="C104" s="2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" customHeight="1">
      <c r="A105" s="9" t="n"/>
      <c r="B105" s="9" t="n"/>
      <c r="C105" s="2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" customHeight="1">
      <c r="A106" s="9" t="n"/>
      <c r="B106" s="9" t="n"/>
      <c r="C106" s="2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" customHeight="1">
      <c r="A107" s="9" t="n"/>
      <c r="B107" s="9" t="n"/>
      <c r="C107" s="2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" customHeight="1">
      <c r="A108" s="9" t="n"/>
      <c r="B108" s="9" t="n"/>
      <c r="C108" s="2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" customHeight="1">
      <c r="A109" s="9" t="n"/>
      <c r="B109" s="9" t="n"/>
      <c r="C109" s="2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" customHeight="1">
      <c r="A110" s="9" t="n"/>
      <c r="B110" s="9" t="n"/>
      <c r="C110" s="2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" customHeight="1">
      <c r="A111" s="9" t="n"/>
      <c r="B111" s="9" t="n"/>
      <c r="C111" s="2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" customHeight="1">
      <c r="A112" s="9" t="n"/>
      <c r="B112" s="9" t="n"/>
      <c r="C112" s="2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" customHeight="1">
      <c r="A113" s="9" t="n"/>
      <c r="B113" s="9" t="n"/>
      <c r="C113" s="2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" customHeight="1">
      <c r="A114" s="9" t="n"/>
      <c r="B114" s="9" t="n"/>
      <c r="C114" s="2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" customHeight="1">
      <c r="A115" s="9" t="n"/>
      <c r="B115" s="9" t="n"/>
      <c r="C115" s="2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" customHeight="1">
      <c r="A116" s="9" t="n"/>
      <c r="B116" s="9" t="n"/>
      <c r="C116" s="2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" customHeight="1">
      <c r="A117" s="9" t="n"/>
      <c r="B117" s="9" t="n"/>
      <c r="C117" s="2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" customHeight="1">
      <c r="A118" s="9" t="n"/>
      <c r="B118" s="9" t="n"/>
      <c r="C118" s="2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" customHeight="1">
      <c r="A119" s="9" t="n"/>
      <c r="B119" s="9" t="n"/>
      <c r="C119" s="2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" customHeight="1">
      <c r="A120" s="9" t="n"/>
      <c r="B120" s="9" t="n"/>
      <c r="C120" s="2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" customHeight="1">
      <c r="A121" s="9" t="n"/>
      <c r="B121" s="9" t="n"/>
      <c r="C121" s="2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" customHeight="1">
      <c r="A122" s="9" t="n"/>
      <c r="B122" s="9" t="n"/>
      <c r="C122" s="2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" customHeight="1">
      <c r="A123" s="9" t="n"/>
      <c r="B123" s="9" t="n"/>
      <c r="C123" s="2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" customHeight="1">
      <c r="A124" s="9" t="n"/>
      <c r="B124" s="9" t="n"/>
      <c r="C124" s="2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" customHeight="1">
      <c r="A125" s="9" t="n"/>
      <c r="B125" s="9" t="n"/>
      <c r="C125" s="2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" customHeight="1">
      <c r="A126" s="9" t="n"/>
      <c r="B126" s="9" t="n"/>
      <c r="C126" s="2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" customHeight="1">
      <c r="A127" s="9" t="n"/>
      <c r="B127" s="9" t="n"/>
      <c r="C127" s="2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" customHeight="1">
      <c r="A128" s="9" t="n"/>
      <c r="B128" s="9" t="n"/>
      <c r="C128" s="2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" customHeight="1">
      <c r="A129" s="9" t="n"/>
      <c r="B129" s="9" t="n"/>
      <c r="C129" s="2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" customHeight="1">
      <c r="A130" s="9" t="n"/>
      <c r="B130" s="9" t="n"/>
      <c r="C130" s="2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" customHeight="1">
      <c r="A131" s="9" t="n"/>
      <c r="B131" s="9" t="n"/>
      <c r="C131" s="2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" customHeight="1">
      <c r="A132" s="9" t="n"/>
      <c r="B132" s="9" t="n"/>
      <c r="C132" s="2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" customHeight="1">
      <c r="A133" s="9" t="n"/>
      <c r="B133" s="9" t="n"/>
      <c r="C133" s="2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" customHeight="1">
      <c r="A134" s="9" t="n"/>
      <c r="B134" s="9" t="n"/>
      <c r="C134" s="2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" customHeight="1">
      <c r="A135" s="9" t="n"/>
      <c r="B135" s="9" t="n"/>
      <c r="C135" s="2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" customHeight="1">
      <c r="A136" s="9" t="n"/>
      <c r="B136" s="9" t="n"/>
      <c r="C136" s="2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" customHeight="1">
      <c r="A137" s="9" t="n"/>
      <c r="B137" s="9" t="n"/>
      <c r="C137" s="2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" customHeight="1">
      <c r="A138" s="9" t="n"/>
      <c r="B138" s="9" t="n"/>
      <c r="C138" s="2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" customHeight="1">
      <c r="A139" s="9" t="n"/>
      <c r="B139" s="9" t="n"/>
      <c r="C139" s="2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" customHeight="1">
      <c r="A140" s="9" t="n"/>
      <c r="B140" s="9" t="n"/>
      <c r="C140" s="2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" customHeight="1">
      <c r="A141" s="9" t="n"/>
      <c r="B141" s="9" t="n"/>
      <c r="C141" s="2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" customHeight="1">
      <c r="A142" s="9" t="n"/>
      <c r="B142" s="9" t="n"/>
      <c r="C142" s="2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" customHeight="1">
      <c r="A143" s="9" t="n"/>
      <c r="B143" s="9" t="n"/>
      <c r="C143" s="2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" customHeight="1">
      <c r="A144" s="9" t="n"/>
      <c r="B144" s="9" t="n"/>
      <c r="C144" s="2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" customHeight="1">
      <c r="A145" s="9" t="n"/>
      <c r="B145" s="9" t="n"/>
      <c r="C145" s="2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" customHeight="1">
      <c r="A146" s="9" t="n"/>
      <c r="B146" s="9" t="n"/>
      <c r="C146" s="2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" customHeight="1">
      <c r="A147" s="9" t="n"/>
      <c r="B147" s="9" t="n"/>
      <c r="C147" s="2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" customHeight="1">
      <c r="A148" s="9" t="n"/>
      <c r="B148" s="9" t="n"/>
      <c r="C148" s="2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" customHeight="1">
      <c r="A149" s="9" t="n"/>
      <c r="B149" s="9" t="n"/>
      <c r="C149" s="2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" customHeight="1">
      <c r="A150" s="9" t="n"/>
      <c r="B150" s="9" t="n"/>
      <c r="C150" s="2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" customHeight="1">
      <c r="A151" s="9" t="n"/>
      <c r="B151" s="9" t="n"/>
      <c r="C151" s="2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" customHeight="1">
      <c r="A152" s="9" t="n"/>
      <c r="B152" s="9" t="n"/>
      <c r="C152" s="2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" customHeight="1">
      <c r="A153" s="9" t="n"/>
      <c r="B153" s="9" t="n"/>
      <c r="C153" s="2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" customHeight="1">
      <c r="A154" s="9" t="n"/>
      <c r="B154" s="9" t="n"/>
      <c r="C154" s="2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" customHeight="1">
      <c r="A155" s="9" t="n"/>
      <c r="B155" s="9" t="n"/>
      <c r="C155" s="2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" customHeight="1">
      <c r="A156" s="9" t="n"/>
      <c r="B156" s="9" t="n"/>
      <c r="C156" s="2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" customHeight="1">
      <c r="A157" s="9" t="n"/>
      <c r="B157" s="9" t="n"/>
      <c r="C157" s="2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" customHeight="1">
      <c r="A158" s="9" t="n"/>
      <c r="B158" s="9" t="n"/>
      <c r="C158" s="2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" customHeight="1">
      <c r="A159" s="9" t="n"/>
      <c r="B159" s="9" t="n"/>
      <c r="C159" s="2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" customHeight="1">
      <c r="A160" s="9" t="n"/>
      <c r="B160" s="9" t="n"/>
      <c r="C160" s="2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" customHeight="1">
      <c r="A161" s="9" t="n"/>
      <c r="B161" s="9" t="n"/>
      <c r="C161" s="2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" customHeight="1">
      <c r="A162" s="9" t="n"/>
      <c r="B162" s="9" t="n"/>
      <c r="C162" s="2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" customHeight="1">
      <c r="A163" s="9" t="n"/>
      <c r="B163" s="9" t="n"/>
      <c r="C163" s="2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" customHeight="1">
      <c r="A164" s="9" t="n"/>
      <c r="B164" s="9" t="n"/>
      <c r="C164" s="2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" customHeight="1">
      <c r="A165" s="9" t="n"/>
      <c r="B165" s="9" t="n"/>
      <c r="C165" s="2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" customHeight="1">
      <c r="A166" s="9" t="n"/>
      <c r="B166" s="9" t="n"/>
      <c r="C166" s="2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" customHeight="1">
      <c r="A167" s="9" t="n"/>
      <c r="B167" s="9" t="n"/>
      <c r="C167" s="2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" customHeight="1">
      <c r="A168" s="9" t="n"/>
      <c r="B168" s="9" t="n"/>
      <c r="C168" s="2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" customHeight="1">
      <c r="A169" s="9" t="n"/>
      <c r="B169" s="9" t="n"/>
      <c r="C169" s="2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" customHeight="1">
      <c r="A170" s="9" t="n"/>
      <c r="B170" s="9" t="n"/>
      <c r="C170" s="2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" customHeight="1">
      <c r="A171" s="9" t="n"/>
      <c r="B171" s="9" t="n"/>
      <c r="C171" s="2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" customHeight="1">
      <c r="A172" s="9" t="n"/>
      <c r="B172" s="9" t="n"/>
      <c r="C172" s="2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" customHeight="1">
      <c r="A173" s="9" t="n"/>
      <c r="B173" s="9" t="n"/>
      <c r="C173" s="2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" customHeight="1">
      <c r="A174" s="9" t="n"/>
      <c r="B174" s="9" t="n"/>
      <c r="C174" s="2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" customHeight="1">
      <c r="A175" s="9" t="n"/>
      <c r="B175" s="9" t="n"/>
      <c r="C175" s="2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" customHeight="1">
      <c r="A176" s="9" t="n"/>
      <c r="B176" s="9" t="n"/>
      <c r="C176" s="2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" customHeight="1">
      <c r="A177" s="9" t="n"/>
      <c r="B177" s="9" t="n"/>
      <c r="C177" s="2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" customHeight="1">
      <c r="A178" s="9" t="n"/>
      <c r="B178" s="9" t="n"/>
      <c r="C178" s="2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" customHeight="1">
      <c r="A179" s="9" t="n"/>
      <c r="B179" s="9" t="n"/>
      <c r="C179" s="2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" customHeight="1">
      <c r="A180" s="9" t="n"/>
      <c r="B180" s="9" t="n"/>
      <c r="C180" s="2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" customHeight="1">
      <c r="A181" s="9" t="n"/>
      <c r="B181" s="9" t="n"/>
      <c r="C181" s="2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" customHeight="1">
      <c r="A182" s="9" t="n"/>
      <c r="B182" s="9" t="n"/>
      <c r="C182" s="2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" customHeight="1">
      <c r="A183" s="9" t="n"/>
      <c r="B183" s="9" t="n"/>
      <c r="C183" s="2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" customHeight="1">
      <c r="A184" s="9" t="n"/>
      <c r="B184" s="9" t="n"/>
      <c r="C184" s="2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" customHeight="1">
      <c r="A185" s="9" t="n"/>
      <c r="B185" s="9" t="n"/>
      <c r="C185" s="2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" customHeight="1">
      <c r="A186" s="9" t="n"/>
      <c r="B186" s="9" t="n"/>
      <c r="C186" s="2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" customHeight="1">
      <c r="A187" s="9" t="n"/>
      <c r="B187" s="9" t="n"/>
      <c r="C187" s="2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" customHeight="1">
      <c r="A188" s="9" t="n"/>
      <c r="B188" s="9" t="n"/>
      <c r="C188" s="2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" customHeight="1">
      <c r="A189" s="9" t="n"/>
      <c r="B189" s="9" t="n"/>
      <c r="C189" s="2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" customHeight="1">
      <c r="A190" s="9" t="n"/>
      <c r="B190" s="9" t="n"/>
      <c r="C190" s="2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" customHeight="1">
      <c r="A191" s="9" t="n"/>
      <c r="B191" s="9" t="n"/>
      <c r="C191" s="2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" customHeight="1">
      <c r="A192" s="9" t="n"/>
      <c r="B192" s="9" t="n"/>
      <c r="C192" s="2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" customHeight="1">
      <c r="A193" s="9" t="n"/>
      <c r="B193" s="9" t="n"/>
      <c r="C193" s="2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" customHeight="1">
      <c r="A194" s="9" t="n"/>
      <c r="B194" s="9" t="n"/>
      <c r="C194" s="2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" customHeight="1">
      <c r="A195" s="9" t="n"/>
      <c r="B195" s="9" t="n"/>
      <c r="C195" s="2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" customHeight="1">
      <c r="A196" s="9" t="n"/>
      <c r="B196" s="9" t="n"/>
      <c r="C196" s="2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" customHeight="1">
      <c r="A197" s="9" t="n"/>
      <c r="B197" s="9" t="n"/>
      <c r="C197" s="2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" customHeight="1">
      <c r="A198" s="9" t="n"/>
      <c r="B198" s="9" t="n"/>
      <c r="C198" s="2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" customHeight="1">
      <c r="A199" s="9" t="n"/>
      <c r="B199" s="9" t="n"/>
      <c r="C199" s="2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" customHeight="1">
      <c r="A200" s="9" t="n"/>
      <c r="B200" s="9" t="n"/>
      <c r="C200" s="2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" customHeight="1">
      <c r="A201" s="9" t="n"/>
      <c r="B201" s="9" t="n"/>
      <c r="C201" s="2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" customHeight="1">
      <c r="A202" s="9" t="n"/>
      <c r="B202" s="9" t="n"/>
      <c r="C202" s="2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" customHeight="1">
      <c r="A203" s="9" t="n"/>
      <c r="B203" s="9" t="n"/>
      <c r="C203" s="2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" customHeight="1">
      <c r="A204" s="9" t="n"/>
      <c r="B204" s="9" t="n"/>
      <c r="C204" s="2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" customHeight="1">
      <c r="A205" s="9" t="n"/>
      <c r="B205" s="9" t="n"/>
      <c r="C205" s="2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" customHeight="1">
      <c r="A206" s="9" t="n"/>
      <c r="B206" s="9" t="n"/>
      <c r="C206" s="2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" customHeight="1">
      <c r="A207" s="9" t="n"/>
      <c r="B207" s="9" t="n"/>
      <c r="C207" s="2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" customHeight="1">
      <c r="A208" s="9" t="n"/>
      <c r="B208" s="9" t="n"/>
      <c r="C208" s="2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" customHeight="1">
      <c r="A209" s="9" t="n"/>
      <c r="B209" s="9" t="n"/>
      <c r="C209" s="2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" customHeight="1">
      <c r="A210" s="9" t="n"/>
      <c r="B210" s="9" t="n"/>
      <c r="C210" s="2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" customHeight="1">
      <c r="A211" s="9" t="n"/>
      <c r="B211" s="9" t="n"/>
      <c r="C211" s="2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" customHeight="1">
      <c r="A212" s="9" t="n"/>
      <c r="B212" s="9" t="n"/>
      <c r="C212" s="2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" customHeight="1">
      <c r="A213" s="9" t="n"/>
      <c r="B213" s="9" t="n"/>
      <c r="C213" s="2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" customHeight="1">
      <c r="A214" s="9" t="n"/>
      <c r="B214" s="9" t="n"/>
      <c r="C214" s="2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" customHeight="1">
      <c r="A215" s="9" t="n"/>
      <c r="B215" s="9" t="n"/>
      <c r="C215" s="2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" customHeight="1">
      <c r="A216" s="9" t="n"/>
      <c r="B216" s="9" t="n"/>
      <c r="C216" s="2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" customHeight="1">
      <c r="A217" s="9" t="n"/>
      <c r="B217" s="9" t="n"/>
      <c r="C217" s="2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" customHeight="1">
      <c r="A218" s="9" t="n"/>
      <c r="B218" s="9" t="n"/>
      <c r="C218" s="2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" customHeight="1">
      <c r="A219" s="9" t="n"/>
      <c r="B219" s="9" t="n"/>
      <c r="C219" s="2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" customHeight="1">
      <c r="A220" s="9" t="n"/>
      <c r="B220" s="9" t="n"/>
      <c r="C220" s="2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" customHeight="1">
      <c r="A221" s="9" t="n"/>
      <c r="B221" s="9" t="n"/>
      <c r="C221" s="2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" customHeight="1">
      <c r="A222" s="9" t="n"/>
      <c r="B222" s="9" t="n"/>
      <c r="C222" s="2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" customHeight="1">
      <c r="A223" s="9" t="n"/>
      <c r="B223" s="9" t="n"/>
      <c r="C223" s="2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" customHeight="1">
      <c r="A224" s="9" t="n"/>
      <c r="B224" s="9" t="n"/>
      <c r="C224" s="2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" customHeight="1">
      <c r="A225" s="9" t="n"/>
      <c r="B225" s="9" t="n"/>
      <c r="C225" s="2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" customHeight="1">
      <c r="A226" s="9" t="n"/>
      <c r="B226" s="9" t="n"/>
      <c r="C226" s="2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" customHeight="1">
      <c r="A227" s="9" t="n"/>
      <c r="B227" s="9" t="n"/>
      <c r="C227" s="2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" customHeight="1">
      <c r="A228" s="9" t="n"/>
      <c r="B228" s="9" t="n"/>
      <c r="C228" s="2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" customHeight="1">
      <c r="A229" s="9" t="n"/>
      <c r="B229" s="9" t="n"/>
      <c r="C229" s="2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" customHeight="1">
      <c r="A230" s="9" t="n"/>
      <c r="B230" s="9" t="n"/>
      <c r="C230" s="2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" customHeight="1">
      <c r="A231" s="9" t="n"/>
      <c r="B231" s="9" t="n"/>
      <c r="C231" s="2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" customHeight="1">
      <c r="A232" s="9" t="n"/>
      <c r="B232" s="9" t="n"/>
      <c r="C232" s="2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" customHeight="1">
      <c r="A233" s="9" t="n"/>
      <c r="B233" s="9" t="n"/>
      <c r="C233" s="2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" customHeight="1">
      <c r="A234" s="9" t="n"/>
      <c r="B234" s="9" t="n"/>
      <c r="C234" s="2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" customHeight="1">
      <c r="A235" s="9" t="n"/>
      <c r="B235" s="9" t="n"/>
      <c r="C235" s="2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" customHeight="1">
      <c r="A236" s="9" t="n"/>
      <c r="B236" s="9" t="n"/>
      <c r="C236" s="2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" customHeight="1">
      <c r="A237" s="9" t="n"/>
      <c r="B237" s="9" t="n"/>
      <c r="C237" s="2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" customHeight="1">
      <c r="A238" s="9" t="n"/>
      <c r="B238" s="9" t="n"/>
      <c r="C238" s="2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" customHeight="1">
      <c r="A239" s="9" t="n"/>
      <c r="B239" s="9" t="n"/>
      <c r="C239" s="2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" customHeight="1">
      <c r="A240" s="9" t="n"/>
      <c r="B240" s="9" t="n"/>
      <c r="C240" s="2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" customHeight="1">
      <c r="A241" s="9" t="n"/>
      <c r="B241" s="9" t="n"/>
      <c r="C241" s="2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" customHeight="1">
      <c r="A242" s="9" t="n"/>
      <c r="B242" s="9" t="n"/>
      <c r="C242" s="2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" customHeight="1">
      <c r="A243" s="9" t="n"/>
      <c r="B243" s="9" t="n"/>
      <c r="C243" s="2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" customHeight="1">
      <c r="A244" s="9" t="n"/>
      <c r="B244" s="9" t="n"/>
      <c r="C244" s="2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" customHeight="1">
      <c r="A245" s="9" t="n"/>
      <c r="B245" s="9" t="n"/>
      <c r="C245" s="2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" customHeight="1">
      <c r="A246" s="9" t="n"/>
      <c r="B246" s="9" t="n"/>
      <c r="C246" s="2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" customHeight="1">
      <c r="A247" s="9" t="n"/>
      <c r="B247" s="9" t="n"/>
      <c r="C247" s="2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" customHeight="1">
      <c r="A248" s="9" t="n"/>
      <c r="B248" s="9" t="n"/>
      <c r="C248" s="2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" customHeight="1">
      <c r="A249" s="9" t="n"/>
      <c r="B249" s="9" t="n"/>
      <c r="C249" s="2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" customHeight="1">
      <c r="A250" s="9" t="n"/>
      <c r="B250" s="9" t="n"/>
      <c r="C250" s="2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" customHeight="1">
      <c r="A251" s="9" t="n"/>
      <c r="B251" s="9" t="n"/>
      <c r="C251" s="2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" customHeight="1">
      <c r="A252" s="9" t="n"/>
      <c r="B252" s="9" t="n"/>
      <c r="C252" s="2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" customHeight="1">
      <c r="A253" s="9" t="n"/>
      <c r="B253" s="9" t="n"/>
      <c r="C253" s="2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" customHeight="1">
      <c r="A254" s="9" t="n"/>
      <c r="B254" s="9" t="n"/>
      <c r="C254" s="2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" customHeight="1">
      <c r="A255" s="9" t="n"/>
      <c r="B255" s="9" t="n"/>
      <c r="C255" s="2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" customHeight="1">
      <c r="A256" s="9" t="n"/>
      <c r="B256" s="9" t="n"/>
      <c r="C256" s="2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" customHeight="1">
      <c r="A257" s="9" t="n"/>
      <c r="B257" s="9" t="n"/>
      <c r="C257" s="2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" customHeight="1">
      <c r="A258" s="9" t="n"/>
      <c r="B258" s="9" t="n"/>
      <c r="C258" s="2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" customHeight="1">
      <c r="A259" s="9" t="n"/>
      <c r="B259" s="9" t="n"/>
      <c r="C259" s="2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" customHeight="1">
      <c r="A260" s="9" t="n"/>
      <c r="B260" s="9" t="n"/>
      <c r="C260" s="2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" customHeight="1">
      <c r="A261" s="9" t="n"/>
      <c r="B261" s="9" t="n"/>
      <c r="C261" s="2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" customHeight="1">
      <c r="A262" s="9" t="n"/>
      <c r="B262" s="9" t="n"/>
      <c r="C262" s="2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" customHeight="1">
      <c r="A263" s="9" t="n"/>
      <c r="B263" s="9" t="n"/>
      <c r="C263" s="2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" customHeight="1">
      <c r="A264" s="9" t="n"/>
      <c r="B264" s="9" t="n"/>
      <c r="C264" s="2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" customHeight="1">
      <c r="A265" s="9" t="n"/>
      <c r="B265" s="9" t="n"/>
      <c r="C265" s="2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" customHeight="1">
      <c r="A266" s="9" t="n"/>
      <c r="B266" s="9" t="n"/>
      <c r="C266" s="2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" customHeight="1">
      <c r="A267" s="9" t="n"/>
      <c r="B267" s="9" t="n"/>
      <c r="C267" s="2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" customHeight="1">
      <c r="A268" s="9" t="n"/>
      <c r="B268" s="9" t="n"/>
      <c r="C268" s="2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" customHeight="1">
      <c r="A269" s="9" t="n"/>
      <c r="B269" s="9" t="n"/>
      <c r="C269" s="2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" customHeight="1">
      <c r="A270" s="9" t="n"/>
      <c r="B270" s="9" t="n"/>
      <c r="C270" s="2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" customHeight="1">
      <c r="A271" s="9" t="n"/>
      <c r="B271" s="9" t="n"/>
      <c r="C271" s="2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" customHeight="1">
      <c r="A272" s="9" t="n"/>
      <c r="B272" s="9" t="n"/>
      <c r="C272" s="2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" customHeight="1">
      <c r="A273" s="9" t="n"/>
      <c r="B273" s="9" t="n"/>
      <c r="C273" s="2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" customHeight="1">
      <c r="A274" s="9" t="n"/>
      <c r="B274" s="9" t="n"/>
      <c r="C274" s="2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" customHeight="1">
      <c r="A275" s="9" t="n"/>
      <c r="B275" s="9" t="n"/>
      <c r="C275" s="2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" customHeight="1">
      <c r="A276" s="9" t="n"/>
      <c r="B276" s="9" t="n"/>
      <c r="C276" s="2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" customHeight="1">
      <c r="A277" s="9" t="n"/>
      <c r="B277" s="9" t="n"/>
      <c r="C277" s="2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" customHeight="1">
      <c r="A278" s="9" t="n"/>
      <c r="B278" s="9" t="n"/>
      <c r="C278" s="2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" customHeight="1">
      <c r="A279" s="9" t="n"/>
      <c r="B279" s="9" t="n"/>
      <c r="C279" s="2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" customHeight="1">
      <c r="A280" s="9" t="n"/>
      <c r="B280" s="9" t="n"/>
      <c r="C280" s="2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" customHeight="1">
      <c r="A281" s="9" t="n"/>
      <c r="B281" s="9" t="n"/>
      <c r="C281" s="2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" customHeight="1">
      <c r="A282" s="9" t="n"/>
      <c r="B282" s="9" t="n"/>
      <c r="C282" s="2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" customHeight="1">
      <c r="A283" s="9" t="n"/>
      <c r="B283" s="9" t="n"/>
      <c r="C283" s="2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" customHeight="1">
      <c r="A284" s="9" t="n"/>
      <c r="B284" s="9" t="n"/>
      <c r="C284" s="2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" customHeight="1">
      <c r="A285" s="9" t="n"/>
      <c r="B285" s="9" t="n"/>
      <c r="C285" s="2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" customHeight="1">
      <c r="A286" s="9" t="n"/>
      <c r="B286" s="9" t="n"/>
      <c r="C286" s="2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" customHeight="1">
      <c r="A287" s="9" t="n"/>
      <c r="B287" s="9" t="n"/>
      <c r="C287" s="2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" customHeight="1">
      <c r="A288" s="9" t="n"/>
      <c r="B288" s="9" t="n"/>
      <c r="C288" s="2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" customHeight="1">
      <c r="A289" s="9" t="n"/>
      <c r="B289" s="9" t="n"/>
      <c r="C289" s="2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" customHeight="1">
      <c r="A290" s="9" t="n"/>
      <c r="B290" s="9" t="n"/>
      <c r="C290" s="2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" customHeight="1">
      <c r="A291" s="9" t="n"/>
      <c r="B291" s="9" t="n"/>
      <c r="C291" s="2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" customHeight="1">
      <c r="A292" s="9" t="n"/>
      <c r="B292" s="9" t="n"/>
      <c r="C292" s="2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" customHeight="1">
      <c r="A293" s="9" t="n"/>
      <c r="B293" s="9" t="n"/>
      <c r="C293" s="2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" customHeight="1">
      <c r="A294" s="9" t="n"/>
      <c r="B294" s="9" t="n"/>
      <c r="C294" s="2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" customHeight="1">
      <c r="A295" s="9" t="n"/>
      <c r="B295" s="9" t="n"/>
      <c r="C295" s="2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" customHeight="1">
      <c r="A296" s="9" t="n"/>
      <c r="B296" s="9" t="n"/>
      <c r="C296" s="2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" customHeight="1">
      <c r="A297" s="9" t="n"/>
      <c r="B297" s="9" t="n"/>
      <c r="C297" s="2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" customHeight="1">
      <c r="A298" s="9" t="n"/>
      <c r="B298" s="9" t="n"/>
      <c r="C298" s="2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" customHeight="1">
      <c r="A299" s="9" t="n"/>
      <c r="B299" s="9" t="n"/>
      <c r="C299" s="2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" customHeight="1">
      <c r="A300" s="9" t="n"/>
      <c r="B300" s="9" t="n"/>
      <c r="C300" s="2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" customHeight="1">
      <c r="A301" s="9" t="n"/>
      <c r="B301" s="9" t="n"/>
      <c r="C301" s="2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" customHeight="1">
      <c r="A302" s="9" t="n"/>
      <c r="B302" s="9" t="n"/>
      <c r="C302" s="2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" customHeight="1">
      <c r="A303" s="9" t="n"/>
      <c r="B303" s="9" t="n"/>
      <c r="C303" s="2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" customHeight="1">
      <c r="A304" s="9" t="n"/>
      <c r="B304" s="9" t="n"/>
      <c r="C304" s="2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" customHeight="1">
      <c r="A305" s="9" t="n"/>
      <c r="B305" s="9" t="n"/>
      <c r="C305" s="2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" customHeight="1">
      <c r="A306" s="9" t="n"/>
      <c r="B306" s="9" t="n"/>
      <c r="C306" s="2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" customHeight="1">
      <c r="A307" s="9" t="n"/>
      <c r="B307" s="9" t="n"/>
      <c r="C307" s="2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" customHeight="1">
      <c r="A308" s="9" t="n"/>
      <c r="B308" s="9" t="n"/>
      <c r="C308" s="2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" customHeight="1">
      <c r="A309" s="9" t="n"/>
      <c r="B309" s="9" t="n"/>
      <c r="C309" s="2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" customHeight="1">
      <c r="A310" s="9" t="n"/>
      <c r="B310" s="9" t="n"/>
      <c r="C310" s="2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" customHeight="1">
      <c r="A311" s="9" t="n"/>
      <c r="B311" s="9" t="n"/>
      <c r="C311" s="2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" customHeight="1">
      <c r="A312" s="9" t="n"/>
      <c r="B312" s="9" t="n"/>
      <c r="C312" s="2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" customHeight="1">
      <c r="A313" s="9" t="n"/>
      <c r="B313" s="9" t="n"/>
      <c r="C313" s="2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" customHeight="1">
      <c r="A314" s="9" t="n"/>
      <c r="B314" s="9" t="n"/>
      <c r="C314" s="2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" customHeight="1">
      <c r="A315" s="9" t="n"/>
      <c r="B315" s="9" t="n"/>
      <c r="C315" s="2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" customHeight="1">
      <c r="A316" s="9" t="n"/>
      <c r="B316" s="9" t="n"/>
      <c r="C316" s="2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" customHeight="1">
      <c r="A317" s="9" t="n"/>
      <c r="B317" s="9" t="n"/>
      <c r="C317" s="2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" customHeight="1">
      <c r="A318" s="9" t="n"/>
      <c r="B318" s="9" t="n"/>
      <c r="C318" s="2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" customHeight="1">
      <c r="A319" s="9" t="n"/>
      <c r="B319" s="9" t="n"/>
      <c r="C319" s="2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" customHeight="1">
      <c r="A320" s="9" t="n"/>
      <c r="B320" s="9" t="n"/>
      <c r="C320" s="2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" customHeight="1">
      <c r="A321" s="9" t="n"/>
      <c r="B321" s="9" t="n"/>
      <c r="C321" s="2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" customHeight="1">
      <c r="A322" s="9" t="n"/>
      <c r="B322" s="9" t="n"/>
      <c r="C322" s="2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" customHeight="1">
      <c r="A323" s="9" t="n"/>
      <c r="B323" s="9" t="n"/>
      <c r="C323" s="2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" customHeight="1">
      <c r="A324" s="9" t="n"/>
      <c r="B324" s="9" t="n"/>
      <c r="C324" s="2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" customHeight="1">
      <c r="A325" s="9" t="n"/>
      <c r="B325" s="9" t="n"/>
      <c r="C325" s="2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" customHeight="1">
      <c r="A326" s="9" t="n"/>
      <c r="B326" s="9" t="n"/>
      <c r="C326" s="2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" customHeight="1">
      <c r="A327" s="9" t="n"/>
      <c r="B327" s="9" t="n"/>
      <c r="C327" s="2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" customHeight="1">
      <c r="A328" s="9" t="n"/>
      <c r="B328" s="9" t="n"/>
      <c r="C328" s="2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" customHeight="1">
      <c r="A329" s="9" t="n"/>
      <c r="B329" s="9" t="n"/>
      <c r="C329" s="2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" customHeight="1">
      <c r="A330" s="9" t="n"/>
      <c r="B330" s="9" t="n"/>
      <c r="C330" s="2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" customHeight="1">
      <c r="A331" s="9" t="n"/>
      <c r="B331" s="9" t="n"/>
      <c r="C331" s="2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" customHeight="1">
      <c r="A332" s="9" t="n"/>
      <c r="B332" s="9" t="n"/>
      <c r="C332" s="2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" customHeight="1">
      <c r="A333" s="9" t="n"/>
      <c r="B333" s="9" t="n"/>
      <c r="C333" s="2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" customHeight="1">
      <c r="A334" s="9" t="n"/>
      <c r="B334" s="9" t="n"/>
      <c r="C334" s="2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" customHeight="1">
      <c r="A335" s="9" t="n"/>
      <c r="B335" s="9" t="n"/>
      <c r="C335" s="2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" customHeight="1">
      <c r="A336" s="9" t="n"/>
      <c r="B336" s="9" t="n"/>
      <c r="C336" s="2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" customHeight="1">
      <c r="A337" s="9" t="n"/>
      <c r="B337" s="9" t="n"/>
      <c r="C337" s="2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" customHeight="1">
      <c r="A338" s="9" t="n"/>
      <c r="B338" s="9" t="n"/>
      <c r="C338" s="2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" customHeight="1">
      <c r="A339" s="9" t="n"/>
      <c r="B339" s="9" t="n"/>
      <c r="C339" s="2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" customHeight="1">
      <c r="A340" s="9" t="n"/>
      <c r="B340" s="9" t="n"/>
      <c r="C340" s="2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" customHeight="1">
      <c r="A341" s="9" t="n"/>
      <c r="B341" s="9" t="n"/>
      <c r="C341" s="2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" customHeight="1">
      <c r="A342" s="9" t="n"/>
      <c r="B342" s="9" t="n"/>
      <c r="C342" s="2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" customHeight="1">
      <c r="A343" s="9" t="n"/>
      <c r="B343" s="9" t="n"/>
      <c r="C343" s="2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" customHeight="1">
      <c r="A344" s="9" t="n"/>
      <c r="B344" s="9" t="n"/>
      <c r="C344" s="2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" customHeight="1">
      <c r="A345" s="9" t="n"/>
      <c r="B345" s="9" t="n"/>
      <c r="C345" s="2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" customHeight="1">
      <c r="A346" s="9" t="n"/>
      <c r="B346" s="9" t="n"/>
      <c r="C346" s="2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" customHeight="1">
      <c r="A347" s="9" t="n"/>
      <c r="B347" s="9" t="n"/>
      <c r="C347" s="2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" customHeight="1">
      <c r="A348" s="9" t="n"/>
      <c r="B348" s="9" t="n"/>
      <c r="C348" s="2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" customHeight="1">
      <c r="A349" s="9" t="n"/>
      <c r="B349" s="9" t="n"/>
      <c r="C349" s="2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" customHeight="1">
      <c r="A350" s="9" t="n"/>
      <c r="B350" s="9" t="n"/>
      <c r="C350" s="2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" customHeight="1">
      <c r="A351" s="9" t="n"/>
      <c r="B351" s="9" t="n"/>
      <c r="C351" s="2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" customHeight="1">
      <c r="A352" s="9" t="n"/>
      <c r="B352" s="9" t="n"/>
      <c r="C352" s="2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" customHeight="1">
      <c r="A353" s="9" t="n"/>
      <c r="B353" s="9" t="n"/>
      <c r="C353" s="2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" customHeight="1">
      <c r="A354" s="9" t="n"/>
      <c r="B354" s="9" t="n"/>
      <c r="C354" s="2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" customHeight="1">
      <c r="A355" s="9" t="n"/>
      <c r="B355" s="9" t="n"/>
      <c r="C355" s="2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" customHeight="1">
      <c r="A356" s="9" t="n"/>
      <c r="B356" s="9" t="n"/>
      <c r="C356" s="2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" customHeight="1">
      <c r="A357" s="9" t="n"/>
      <c r="B357" s="9" t="n"/>
      <c r="C357" s="2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" customHeight="1">
      <c r="A358" s="9" t="n"/>
      <c r="B358" s="9" t="n"/>
      <c r="C358" s="2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" customHeight="1">
      <c r="A359" s="9" t="n"/>
      <c r="B359" s="9" t="n"/>
      <c r="C359" s="2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" customHeight="1">
      <c r="A360" s="9" t="n"/>
      <c r="B360" s="9" t="n"/>
      <c r="C360" s="2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" customHeight="1">
      <c r="A361" s="9" t="n"/>
      <c r="B361" s="9" t="n"/>
      <c r="C361" s="2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" customHeight="1">
      <c r="A362" s="9" t="n"/>
      <c r="B362" s="9" t="n"/>
      <c r="C362" s="2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" customHeight="1">
      <c r="A363" s="9" t="n"/>
      <c r="B363" s="9" t="n"/>
      <c r="C363" s="2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" customHeight="1">
      <c r="A364" s="9" t="n"/>
      <c r="B364" s="9" t="n"/>
      <c r="C364" s="2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" customHeight="1">
      <c r="A365" s="9" t="n"/>
      <c r="B365" s="9" t="n"/>
      <c r="C365" s="2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" customHeight="1">
      <c r="A366" s="9" t="n"/>
      <c r="B366" s="9" t="n"/>
      <c r="C366" s="2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" customHeight="1">
      <c r="A367" s="9" t="n"/>
      <c r="B367" s="9" t="n"/>
      <c r="C367" s="2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" customHeight="1">
      <c r="A368" s="9" t="n"/>
      <c r="B368" s="9" t="n"/>
      <c r="C368" s="2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" customHeight="1">
      <c r="A369" s="9" t="n"/>
      <c r="B369" s="9" t="n"/>
      <c r="C369" s="2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" customHeight="1">
      <c r="A370" s="9" t="n"/>
      <c r="B370" s="9" t="n"/>
      <c r="C370" s="2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" customHeight="1">
      <c r="A371" s="9" t="n"/>
      <c r="B371" s="9" t="n"/>
      <c r="C371" s="2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" customHeight="1">
      <c r="A372" s="9" t="n"/>
      <c r="B372" s="9" t="n"/>
      <c r="C372" s="2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" customHeight="1">
      <c r="A373" s="9" t="n"/>
      <c r="B373" s="9" t="n"/>
      <c r="C373" s="2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" customHeight="1">
      <c r="A374" s="9" t="n"/>
      <c r="B374" s="9" t="n"/>
      <c r="C374" s="2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" customHeight="1">
      <c r="A375" s="9" t="n"/>
      <c r="B375" s="9" t="n"/>
      <c r="C375" s="2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" customHeight="1">
      <c r="A376" s="9" t="n"/>
      <c r="B376" s="9" t="n"/>
      <c r="C376" s="2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" customHeight="1">
      <c r="A377" s="9" t="n"/>
      <c r="B377" s="9" t="n"/>
      <c r="C377" s="2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" customHeight="1">
      <c r="A378" s="9" t="n"/>
      <c r="B378" s="9" t="n"/>
      <c r="C378" s="2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" customHeight="1">
      <c r="A379" s="9" t="n"/>
      <c r="B379" s="9" t="n"/>
      <c r="C379" s="2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" customHeight="1">
      <c r="A380" s="9" t="n"/>
      <c r="B380" s="9" t="n"/>
      <c r="C380" s="2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" customHeight="1">
      <c r="A381" s="9" t="n"/>
      <c r="B381" s="9" t="n"/>
      <c r="C381" s="2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" customHeight="1">
      <c r="A382" s="9" t="n"/>
      <c r="B382" s="9" t="n"/>
      <c r="C382" s="2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" customHeight="1">
      <c r="A383" s="9" t="n"/>
      <c r="B383" s="9" t="n"/>
      <c r="C383" s="2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" customHeight="1">
      <c r="A384" s="9" t="n"/>
      <c r="B384" s="9" t="n"/>
      <c r="C384" s="2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" customHeight="1">
      <c r="A385" s="9" t="n"/>
      <c r="B385" s="9" t="n"/>
      <c r="C385" s="2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" customHeight="1">
      <c r="A386" s="9" t="n"/>
      <c r="B386" s="9" t="n"/>
      <c r="C386" s="2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" customHeight="1">
      <c r="A387" s="9" t="n"/>
      <c r="B387" s="9" t="n"/>
      <c r="C387" s="2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" customHeight="1">
      <c r="A388" s="9" t="n"/>
      <c r="B388" s="9" t="n"/>
      <c r="C388" s="2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" customHeight="1">
      <c r="A389" s="9" t="n"/>
      <c r="B389" s="9" t="n"/>
      <c r="C389" s="2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" customHeight="1">
      <c r="A390" s="9" t="n"/>
      <c r="B390" s="9" t="n"/>
      <c r="C390" s="2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" customHeight="1">
      <c r="A391" s="9" t="n"/>
      <c r="B391" s="9" t="n"/>
      <c r="C391" s="2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" customHeight="1">
      <c r="A392" s="9" t="n"/>
      <c r="B392" s="9" t="n"/>
      <c r="C392" s="2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" customHeight="1">
      <c r="A393" s="9" t="n"/>
      <c r="B393" s="9" t="n"/>
      <c r="C393" s="2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" customHeight="1">
      <c r="A394" s="9" t="n"/>
      <c r="B394" s="9" t="n"/>
      <c r="C394" s="2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" customHeight="1">
      <c r="A395" s="9" t="n"/>
      <c r="B395" s="9" t="n"/>
      <c r="C395" s="2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" customHeight="1">
      <c r="A396" s="9" t="n"/>
      <c r="B396" s="9" t="n"/>
      <c r="C396" s="2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" customHeight="1">
      <c r="A397" s="9" t="n"/>
      <c r="B397" s="9" t="n"/>
      <c r="C397" s="2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" customHeight="1">
      <c r="A398" s="9" t="n"/>
      <c r="B398" s="9" t="n"/>
      <c r="C398" s="2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" customHeight="1">
      <c r="A399" s="9" t="n"/>
      <c r="B399" s="9" t="n"/>
      <c r="C399" s="2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" customHeight="1">
      <c r="A400" s="9" t="n"/>
      <c r="B400" s="9" t="n"/>
      <c r="C400" s="2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" customHeight="1">
      <c r="A401" s="9" t="n"/>
      <c r="B401" s="9" t="n"/>
      <c r="C401" s="2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" customHeight="1">
      <c r="A402" s="9" t="n"/>
      <c r="B402" s="9" t="n"/>
      <c r="C402" s="2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" customHeight="1">
      <c r="A403" s="9" t="n"/>
      <c r="B403" s="9" t="n"/>
      <c r="C403" s="2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" customHeight="1">
      <c r="A404" s="9" t="n"/>
      <c r="B404" s="9" t="n"/>
      <c r="C404" s="2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" customHeight="1">
      <c r="A405" s="9" t="n"/>
      <c r="B405" s="9" t="n"/>
      <c r="C405" s="2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" customHeight="1">
      <c r="A406" s="9" t="n"/>
      <c r="B406" s="9" t="n"/>
      <c r="C406" s="2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" customHeight="1">
      <c r="A407" s="9" t="n"/>
      <c r="B407" s="9" t="n"/>
      <c r="C407" s="2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" customHeight="1">
      <c r="A408" s="9" t="n"/>
      <c r="B408" s="9" t="n"/>
      <c r="C408" s="2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" customHeight="1">
      <c r="A409" s="9" t="n"/>
      <c r="B409" s="9" t="n"/>
      <c r="C409" s="2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" customHeight="1">
      <c r="A410" s="9" t="n"/>
      <c r="B410" s="9" t="n"/>
      <c r="C410" s="2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" customHeight="1">
      <c r="A411" s="9" t="n"/>
      <c r="B411" s="9" t="n"/>
      <c r="C411" s="2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" customHeight="1">
      <c r="A412" s="9" t="n"/>
      <c r="B412" s="9" t="n"/>
      <c r="C412" s="2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" customHeight="1">
      <c r="A413" s="9" t="n"/>
      <c r="B413" s="9" t="n"/>
      <c r="C413" s="2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" customHeight="1">
      <c r="A414" s="9" t="n"/>
      <c r="B414" s="9" t="n"/>
      <c r="C414" s="2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" customHeight="1">
      <c r="A415" s="9" t="n"/>
      <c r="B415" s="9" t="n"/>
      <c r="C415" s="2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" customHeight="1">
      <c r="A416" s="9" t="n"/>
      <c r="B416" s="9" t="n"/>
      <c r="C416" s="2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" customHeight="1">
      <c r="A417" s="9" t="n"/>
      <c r="B417" s="9" t="n"/>
      <c r="C417" s="2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" customHeight="1">
      <c r="A418" s="9" t="n"/>
      <c r="B418" s="9" t="n"/>
      <c r="C418" s="2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" customHeight="1">
      <c r="A419" s="9" t="n"/>
      <c r="B419" s="9" t="n"/>
      <c r="C419" s="2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" customHeight="1">
      <c r="A420" s="9" t="n"/>
      <c r="B420" s="9" t="n"/>
      <c r="C420" s="2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" customHeight="1">
      <c r="A421" s="9" t="n"/>
      <c r="B421" s="9" t="n"/>
      <c r="C421" s="2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" customHeight="1">
      <c r="A422" s="9" t="n"/>
      <c r="B422" s="9" t="n"/>
      <c r="C422" s="2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" customHeight="1">
      <c r="A423" s="9" t="n"/>
      <c r="B423" s="9" t="n"/>
      <c r="C423" s="2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" customHeight="1">
      <c r="A424" s="9" t="n"/>
      <c r="B424" s="9" t="n"/>
      <c r="C424" s="2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" customHeight="1">
      <c r="A425" s="9" t="n"/>
      <c r="B425" s="9" t="n"/>
      <c r="C425" s="2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" customHeight="1">
      <c r="A426" s="9" t="n"/>
      <c r="B426" s="9" t="n"/>
      <c r="C426" s="2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" customHeight="1">
      <c r="A427" s="9" t="n"/>
      <c r="B427" s="9" t="n"/>
      <c r="C427" s="2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" customHeight="1">
      <c r="A428" s="9" t="n"/>
      <c r="B428" s="9" t="n"/>
      <c r="C428" s="2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" customHeight="1">
      <c r="A429" s="9" t="n"/>
      <c r="B429" s="9" t="n"/>
      <c r="C429" s="2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" customHeight="1">
      <c r="A430" s="9" t="n"/>
      <c r="B430" s="9" t="n"/>
      <c r="C430" s="2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" customHeight="1">
      <c r="A431" s="9" t="n"/>
      <c r="B431" s="9" t="n"/>
      <c r="C431" s="2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" customHeight="1">
      <c r="A432" s="9" t="n"/>
      <c r="B432" s="9" t="n"/>
      <c r="C432" s="2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" customHeight="1">
      <c r="A433" s="9" t="n"/>
      <c r="B433" s="9" t="n"/>
      <c r="C433" s="2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" customHeight="1">
      <c r="A434" s="9" t="n"/>
      <c r="B434" s="9" t="n"/>
      <c r="C434" s="2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" customHeight="1">
      <c r="A435" s="9" t="n"/>
      <c r="B435" s="9" t="n"/>
      <c r="C435" s="2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" customHeight="1">
      <c r="A436" s="9" t="n"/>
      <c r="B436" s="9" t="n"/>
      <c r="C436" s="2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" customHeight="1">
      <c r="A437" s="9" t="n"/>
      <c r="B437" s="9" t="n"/>
      <c r="C437" s="2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" customHeight="1">
      <c r="A438" s="9" t="n"/>
      <c r="B438" s="9" t="n"/>
      <c r="C438" s="2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" customHeight="1">
      <c r="A439" s="9" t="n"/>
      <c r="B439" s="9" t="n"/>
      <c r="C439" s="2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" customHeight="1">
      <c r="A440" s="9" t="n"/>
      <c r="B440" s="9" t="n"/>
      <c r="C440" s="2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" customHeight="1">
      <c r="A441" s="9" t="n"/>
      <c r="B441" s="9" t="n"/>
      <c r="C441" s="2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" customHeight="1">
      <c r="A442" s="9" t="n"/>
      <c r="B442" s="9" t="n"/>
      <c r="C442" s="2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" customHeight="1">
      <c r="A443" s="9" t="n"/>
      <c r="B443" s="9" t="n"/>
      <c r="C443" s="2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" customHeight="1">
      <c r="A444" s="9" t="n"/>
      <c r="B444" s="9" t="n"/>
      <c r="C444" s="2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" customHeight="1">
      <c r="A445" s="9" t="n"/>
      <c r="B445" s="9" t="n"/>
      <c r="C445" s="2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" customHeight="1">
      <c r="A446" s="9" t="n"/>
      <c r="B446" s="9" t="n"/>
      <c r="C446" s="2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" customHeight="1">
      <c r="A447" s="9" t="n"/>
      <c r="B447" s="9" t="n"/>
      <c r="C447" s="2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" customHeight="1">
      <c r="A448" s="9" t="n"/>
      <c r="B448" s="9" t="n"/>
      <c r="C448" s="2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" customHeight="1">
      <c r="A449" s="9" t="n"/>
      <c r="B449" s="9" t="n"/>
      <c r="C449" s="2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" customHeight="1">
      <c r="A450" s="9" t="n"/>
      <c r="B450" s="9" t="n"/>
      <c r="C450" s="2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" customHeight="1">
      <c r="A451" s="9" t="n"/>
      <c r="B451" s="9" t="n"/>
      <c r="C451" s="2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" customHeight="1">
      <c r="A452" s="9" t="n"/>
      <c r="B452" s="9" t="n"/>
      <c r="C452" s="2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" customHeight="1">
      <c r="A453" s="9" t="n"/>
      <c r="B453" s="9" t="n"/>
      <c r="C453" s="2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" customHeight="1">
      <c r="A454" s="9" t="n"/>
      <c r="B454" s="9" t="n"/>
      <c r="C454" s="2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" customHeight="1">
      <c r="A455" s="9" t="n"/>
      <c r="B455" s="9" t="n"/>
      <c r="C455" s="2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" customHeight="1">
      <c r="A456" s="9" t="n"/>
      <c r="B456" s="9" t="n"/>
      <c r="C456" s="2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" customHeight="1">
      <c r="A457" s="9" t="n"/>
      <c r="B457" s="9" t="n"/>
      <c r="C457" s="2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" customHeight="1">
      <c r="A458" s="9" t="n"/>
      <c r="B458" s="9" t="n"/>
      <c r="C458" s="2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" customHeight="1">
      <c r="A459" s="9" t="n"/>
      <c r="B459" s="9" t="n"/>
      <c r="C459" s="2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" customHeight="1">
      <c r="A460" s="9" t="n"/>
      <c r="B460" s="9" t="n"/>
      <c r="C460" s="2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" customHeight="1">
      <c r="A461" s="9" t="n"/>
      <c r="B461" s="9" t="n"/>
      <c r="C461" s="2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" customHeight="1">
      <c r="A462" s="9" t="n"/>
      <c r="B462" s="9" t="n"/>
      <c r="C462" s="2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" customHeight="1">
      <c r="A463" s="9" t="n"/>
      <c r="B463" s="9" t="n"/>
      <c r="C463" s="2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" customHeight="1">
      <c r="A464" s="9" t="n"/>
      <c r="B464" s="9" t="n"/>
      <c r="C464" s="2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" customHeight="1">
      <c r="A465" s="9" t="n"/>
      <c r="B465" s="9" t="n"/>
      <c r="C465" s="2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" customHeight="1">
      <c r="A466" s="9" t="n"/>
      <c r="B466" s="9" t="n"/>
      <c r="C466" s="2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" customHeight="1">
      <c r="A467" s="9" t="n"/>
      <c r="B467" s="9" t="n"/>
      <c r="C467" s="2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" customHeight="1">
      <c r="A468" s="9" t="n"/>
      <c r="B468" s="9" t="n"/>
      <c r="C468" s="2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" customHeight="1">
      <c r="A469" s="9" t="n"/>
      <c r="B469" s="9" t="n"/>
      <c r="C469" s="2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" customHeight="1">
      <c r="A470" s="9" t="n"/>
      <c r="B470" s="9" t="n"/>
      <c r="C470" s="2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" customHeight="1">
      <c r="A471" s="9" t="n"/>
      <c r="B471" s="9" t="n"/>
      <c r="C471" s="2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" customHeight="1">
      <c r="A472" s="9" t="n"/>
      <c r="B472" s="9" t="n"/>
      <c r="C472" s="2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" customHeight="1">
      <c r="A473" s="9" t="n"/>
      <c r="B473" s="9" t="n"/>
      <c r="C473" s="2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" customHeight="1">
      <c r="A474" s="9" t="n"/>
      <c r="B474" s="9" t="n"/>
      <c r="C474" s="2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" customHeight="1">
      <c r="A475" s="9" t="n"/>
      <c r="B475" s="9" t="n"/>
      <c r="C475" s="2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" customHeight="1">
      <c r="A476" s="9" t="n"/>
      <c r="B476" s="9" t="n"/>
      <c r="C476" s="2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" customHeight="1">
      <c r="A477" s="9" t="n"/>
      <c r="B477" s="9" t="n"/>
      <c r="C477" s="2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" customHeight="1">
      <c r="A478" s="9" t="n"/>
      <c r="B478" s="9" t="n"/>
      <c r="C478" s="2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" customHeight="1">
      <c r="A479" s="9" t="n"/>
      <c r="B479" s="9" t="n"/>
      <c r="C479" s="2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" customHeight="1">
      <c r="A480" s="9" t="n"/>
      <c r="B480" s="9" t="n"/>
      <c r="C480" s="2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" customHeight="1">
      <c r="A481" s="9" t="n"/>
      <c r="B481" s="9" t="n"/>
      <c r="C481" s="2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" customHeight="1">
      <c r="A482" s="9" t="n"/>
      <c r="B482" s="9" t="n"/>
      <c r="C482" s="2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" customHeight="1">
      <c r="A483" s="9" t="n"/>
      <c r="B483" s="9" t="n"/>
      <c r="C483" s="2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" customHeight="1">
      <c r="A484" s="9" t="n"/>
      <c r="B484" s="9" t="n"/>
      <c r="C484" s="2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" customHeight="1">
      <c r="A485" s="9" t="n"/>
      <c r="B485" s="9" t="n"/>
      <c r="C485" s="2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" customHeight="1">
      <c r="A486" s="9" t="n"/>
      <c r="B486" s="9" t="n"/>
      <c r="C486" s="2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" customHeight="1">
      <c r="A487" s="9" t="n"/>
      <c r="B487" s="9" t="n"/>
      <c r="C487" s="2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" customHeight="1">
      <c r="A488" s="9" t="n"/>
      <c r="B488" s="9" t="n"/>
      <c r="C488" s="2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" customHeight="1">
      <c r="A489" s="9" t="n"/>
      <c r="B489" s="9" t="n"/>
      <c r="C489" s="2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" customHeight="1">
      <c r="A490" s="9" t="n"/>
      <c r="B490" s="9" t="n"/>
      <c r="C490" s="2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" customHeight="1">
      <c r="A491" s="9" t="n"/>
      <c r="B491" s="9" t="n"/>
      <c r="C491" s="2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" customHeight="1">
      <c r="A492" s="9" t="n"/>
      <c r="B492" s="9" t="n"/>
      <c r="C492" s="2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" customHeight="1">
      <c r="A493" s="9" t="n"/>
      <c r="B493" s="9" t="n"/>
      <c r="C493" s="2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" customHeight="1">
      <c r="A494" s="9" t="n"/>
      <c r="B494" s="9" t="n"/>
      <c r="C494" s="2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" customHeight="1">
      <c r="A495" s="9" t="n"/>
      <c r="B495" s="9" t="n"/>
      <c r="C495" s="2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" customHeight="1">
      <c r="A496" s="9" t="n"/>
      <c r="B496" s="9" t="n"/>
      <c r="C496" s="2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" customHeight="1">
      <c r="A497" s="9" t="n"/>
      <c r="B497" s="9" t="n"/>
      <c r="C497" s="2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" customHeight="1">
      <c r="A498" s="9" t="n"/>
      <c r="B498" s="9" t="n"/>
      <c r="C498" s="2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" customHeight="1">
      <c r="A499" s="9" t="n"/>
      <c r="B499" s="9" t="n"/>
      <c r="C499" s="2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" customHeight="1">
      <c r="A500" s="9" t="n"/>
      <c r="B500" s="9" t="n"/>
      <c r="C500" s="2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" customHeight="1">
      <c r="A501" s="9" t="n"/>
      <c r="B501" s="9" t="n"/>
      <c r="C501" s="2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" customHeight="1">
      <c r="A502" s="9" t="n"/>
      <c r="B502" s="9" t="n"/>
      <c r="C502" s="2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" customHeight="1">
      <c r="A503" s="9" t="n"/>
      <c r="B503" s="9" t="n"/>
      <c r="C503" s="2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" customHeight="1">
      <c r="A504" s="9" t="n"/>
      <c r="B504" s="9" t="n"/>
      <c r="C504" s="2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" customHeight="1">
      <c r="A505" s="9" t="n"/>
      <c r="B505" s="9" t="n"/>
      <c r="C505" s="2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" customHeight="1">
      <c r="A506" s="9" t="n"/>
      <c r="B506" s="9" t="n"/>
      <c r="C506" s="2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" customHeight="1">
      <c r="A507" s="9" t="n"/>
      <c r="B507" s="9" t="n"/>
      <c r="C507" s="2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" customHeight="1">
      <c r="A508" s="9" t="n"/>
      <c r="B508" s="9" t="n"/>
      <c r="C508" s="2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" customHeight="1">
      <c r="A509" s="9" t="n"/>
      <c r="B509" s="9" t="n"/>
      <c r="C509" s="2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" customHeight="1">
      <c r="A510" s="9" t="n"/>
      <c r="B510" s="9" t="n"/>
      <c r="C510" s="2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" customHeight="1">
      <c r="A511" s="9" t="n"/>
      <c r="B511" s="9" t="n"/>
      <c r="C511" s="2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" customHeight="1">
      <c r="A512" s="9" t="n"/>
      <c r="B512" s="9" t="n"/>
      <c r="C512" s="2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" customHeight="1">
      <c r="A513" s="9" t="n"/>
      <c r="B513" s="9" t="n"/>
      <c r="C513" s="2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" customHeight="1">
      <c r="A514" s="9" t="n"/>
      <c r="B514" s="9" t="n"/>
      <c r="C514" s="2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" customHeight="1">
      <c r="A515" s="9" t="n"/>
      <c r="B515" s="9" t="n"/>
      <c r="C515" s="2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" customHeight="1">
      <c r="A516" s="9" t="n"/>
      <c r="B516" s="9" t="n"/>
      <c r="C516" s="2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" customHeight="1">
      <c r="A517" s="9" t="n"/>
      <c r="B517" s="9" t="n"/>
      <c r="C517" s="2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" customHeight="1">
      <c r="A518" s="9" t="n"/>
      <c r="B518" s="9" t="n"/>
      <c r="C518" s="2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" customHeight="1">
      <c r="A519" s="9" t="n"/>
      <c r="B519" s="9" t="n"/>
      <c r="C519" s="2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" customHeight="1">
      <c r="A520" s="9" t="n"/>
      <c r="B520" s="9" t="n"/>
      <c r="C520" s="2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" customHeight="1">
      <c r="A521" s="9" t="n"/>
      <c r="B521" s="9" t="n"/>
      <c r="C521" s="2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" customHeight="1">
      <c r="A522" s="9" t="n"/>
      <c r="B522" s="9" t="n"/>
      <c r="C522" s="2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" customHeight="1">
      <c r="A523" s="9" t="n"/>
      <c r="B523" s="9" t="n"/>
      <c r="C523" s="2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" customHeight="1">
      <c r="A524" s="9" t="n"/>
      <c r="B524" s="9" t="n"/>
      <c r="C524" s="2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" customHeight="1">
      <c r="A525" s="9" t="n"/>
      <c r="B525" s="9" t="n"/>
      <c r="C525" s="2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" customHeight="1">
      <c r="A526" s="9" t="n"/>
      <c r="B526" s="9" t="n"/>
      <c r="C526" s="2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" customHeight="1">
      <c r="A527" s="9" t="n"/>
      <c r="B527" s="9" t="n"/>
      <c r="C527" s="2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" customHeight="1">
      <c r="A528" s="9" t="n"/>
      <c r="B528" s="9" t="n"/>
      <c r="C528" s="2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" customHeight="1">
      <c r="A529" s="9" t="n"/>
      <c r="B529" s="9" t="n"/>
      <c r="C529" s="2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" customHeight="1">
      <c r="A530" s="9" t="n"/>
      <c r="B530" s="9" t="n"/>
      <c r="C530" s="2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" customHeight="1">
      <c r="A531" s="9" t="n"/>
      <c r="B531" s="9" t="n"/>
      <c r="C531" s="2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" customHeight="1">
      <c r="A532" s="9" t="n"/>
      <c r="B532" s="9" t="n"/>
      <c r="C532" s="2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" customHeight="1">
      <c r="A533" s="9" t="n"/>
      <c r="B533" s="9" t="n"/>
      <c r="C533" s="2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" customHeight="1">
      <c r="A534" s="9" t="n"/>
      <c r="B534" s="9" t="n"/>
      <c r="C534" s="2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" customHeight="1">
      <c r="A535" s="9" t="n"/>
      <c r="B535" s="9" t="n"/>
      <c r="C535" s="2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" customHeight="1">
      <c r="A536" s="9" t="n"/>
      <c r="B536" s="9" t="n"/>
      <c r="C536" s="2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" customHeight="1">
      <c r="A537" s="9" t="n"/>
      <c r="B537" s="9" t="n"/>
      <c r="C537" s="2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" customHeight="1">
      <c r="A538" s="9" t="n"/>
      <c r="B538" s="9" t="n"/>
      <c r="C538" s="2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" customHeight="1">
      <c r="A539" s="9" t="n"/>
      <c r="B539" s="9" t="n"/>
      <c r="C539" s="2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" customHeight="1">
      <c r="A540" s="9" t="n"/>
      <c r="B540" s="9" t="n"/>
      <c r="C540" s="2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" customHeight="1">
      <c r="A541" s="9" t="n"/>
      <c r="B541" s="9" t="n"/>
      <c r="C541" s="2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" customHeight="1">
      <c r="A542" s="9" t="n"/>
      <c r="B542" s="9" t="n"/>
      <c r="C542" s="2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" customHeight="1">
      <c r="A543" s="9" t="n"/>
      <c r="B543" s="9" t="n"/>
      <c r="C543" s="2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" customHeight="1">
      <c r="A544" s="9" t="n"/>
      <c r="B544" s="9" t="n"/>
      <c r="C544" s="2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" customHeight="1">
      <c r="A545" s="9" t="n"/>
      <c r="B545" s="9" t="n"/>
      <c r="C545" s="2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" customHeight="1">
      <c r="A546" s="9" t="n"/>
      <c r="B546" s="9" t="n"/>
      <c r="C546" s="2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" customHeight="1">
      <c r="A547" s="9" t="n"/>
      <c r="B547" s="9" t="n"/>
      <c r="C547" s="2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" customHeight="1">
      <c r="A548" s="9" t="n"/>
      <c r="B548" s="9" t="n"/>
      <c r="C548" s="2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" customHeight="1">
      <c r="A549" s="9" t="n"/>
      <c r="B549" s="9" t="n"/>
      <c r="C549" s="2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" customHeight="1">
      <c r="A550" s="9" t="n"/>
      <c r="B550" s="9" t="n"/>
      <c r="C550" s="2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" customHeight="1">
      <c r="A551" s="9" t="n"/>
      <c r="B551" s="9" t="n"/>
      <c r="C551" s="2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" customHeight="1">
      <c r="A552" s="9" t="n"/>
      <c r="B552" s="9" t="n"/>
      <c r="C552" s="2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" customHeight="1">
      <c r="A553" s="9" t="n"/>
      <c r="B553" s="9" t="n"/>
      <c r="C553" s="2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" customHeight="1">
      <c r="A554" s="9" t="n"/>
      <c r="B554" s="9" t="n"/>
      <c r="C554" s="2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" customHeight="1">
      <c r="A555" s="9" t="n"/>
      <c r="B555" s="9" t="n"/>
      <c r="C555" s="2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" customHeight="1">
      <c r="A556" s="9" t="n"/>
      <c r="B556" s="9" t="n"/>
      <c r="C556" s="2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" customHeight="1">
      <c r="A557" s="9" t="n"/>
      <c r="B557" s="9" t="n"/>
      <c r="C557" s="2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" customHeight="1">
      <c r="A558" s="9" t="n"/>
      <c r="B558" s="9" t="n"/>
      <c r="C558" s="2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" customHeight="1">
      <c r="A559" s="9" t="n"/>
      <c r="B559" s="9" t="n"/>
      <c r="C559" s="2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" customHeight="1">
      <c r="A560" s="9" t="n"/>
      <c r="B560" s="9" t="n"/>
      <c r="C560" s="2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" customHeight="1">
      <c r="A561" s="9" t="n"/>
      <c r="B561" s="9" t="n"/>
      <c r="C561" s="2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" customHeight="1">
      <c r="A562" s="9" t="n"/>
      <c r="B562" s="9" t="n"/>
      <c r="C562" s="2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" customHeight="1">
      <c r="A563" s="9" t="n"/>
      <c r="B563" s="9" t="n"/>
      <c r="C563" s="2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" customHeight="1">
      <c r="A564" s="9" t="n"/>
      <c r="B564" s="9" t="n"/>
      <c r="C564" s="2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" customHeight="1">
      <c r="A565" s="9" t="n"/>
      <c r="B565" s="9" t="n"/>
      <c r="C565" s="2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" customHeight="1">
      <c r="A566" s="9" t="n"/>
      <c r="B566" s="9" t="n"/>
      <c r="C566" s="2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" customHeight="1">
      <c r="A567" s="9" t="n"/>
      <c r="B567" s="9" t="n"/>
      <c r="C567" s="2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" customHeight="1">
      <c r="A568" s="9" t="n"/>
      <c r="B568" s="9" t="n"/>
      <c r="C568" s="2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" customHeight="1">
      <c r="A569" s="9" t="n"/>
      <c r="B569" s="9" t="n"/>
      <c r="C569" s="2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" customHeight="1">
      <c r="A570" s="9" t="n"/>
      <c r="B570" s="9" t="n"/>
      <c r="C570" s="2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" customHeight="1">
      <c r="A571" s="9" t="n"/>
      <c r="B571" s="9" t="n"/>
      <c r="C571" s="2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" customHeight="1">
      <c r="A572" s="9" t="n"/>
      <c r="B572" s="9" t="n"/>
      <c r="C572" s="2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" customHeight="1">
      <c r="A573" s="9" t="n"/>
      <c r="B573" s="9" t="n"/>
      <c r="C573" s="2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" customHeight="1">
      <c r="A574" s="9" t="n"/>
      <c r="B574" s="9" t="n"/>
      <c r="C574" s="2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" customHeight="1">
      <c r="A575" s="9" t="n"/>
      <c r="B575" s="9" t="n"/>
      <c r="C575" s="2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" customHeight="1">
      <c r="A576" s="9" t="n"/>
      <c r="B576" s="9" t="n"/>
      <c r="C576" s="2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" customHeight="1">
      <c r="A577" s="9" t="n"/>
      <c r="B577" s="9" t="n"/>
      <c r="C577" s="2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" customHeight="1">
      <c r="A578" s="9" t="n"/>
      <c r="B578" s="9" t="n"/>
      <c r="C578" s="2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" customHeight="1">
      <c r="A579" s="9" t="n"/>
      <c r="B579" s="9" t="n"/>
      <c r="C579" s="2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" customHeight="1">
      <c r="A580" s="9" t="n"/>
      <c r="B580" s="9" t="n"/>
      <c r="C580" s="2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" customHeight="1">
      <c r="A581" s="9" t="n"/>
      <c r="B581" s="9" t="n"/>
      <c r="C581" s="2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" customHeight="1">
      <c r="A582" s="9" t="n"/>
      <c r="B582" s="9" t="n"/>
      <c r="C582" s="2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" customHeight="1">
      <c r="A583" s="9" t="n"/>
      <c r="B583" s="9" t="n"/>
      <c r="C583" s="2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" customHeight="1">
      <c r="A584" s="9" t="n"/>
      <c r="B584" s="9" t="n"/>
      <c r="C584" s="2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" customHeight="1">
      <c r="A585" s="9" t="n"/>
      <c r="B585" s="9" t="n"/>
      <c r="C585" s="2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" customHeight="1">
      <c r="A586" s="9" t="n"/>
      <c r="B586" s="9" t="n"/>
      <c r="C586" s="2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" customHeight="1">
      <c r="A587" s="9" t="n"/>
      <c r="B587" s="9" t="n"/>
      <c r="C587" s="2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" customHeight="1">
      <c r="A588" s="9" t="n"/>
      <c r="B588" s="9" t="n"/>
      <c r="C588" s="2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" customHeight="1">
      <c r="A589" s="9" t="n"/>
      <c r="B589" s="9" t="n"/>
      <c r="C589" s="2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" customHeight="1">
      <c r="A590" s="9" t="n"/>
      <c r="B590" s="9" t="n"/>
      <c r="C590" s="2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" customHeight="1">
      <c r="A591" s="9" t="n"/>
      <c r="B591" s="9" t="n"/>
      <c r="C591" s="2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" customHeight="1">
      <c r="A592" s="9" t="n"/>
      <c r="B592" s="9" t="n"/>
      <c r="C592" s="2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" customHeight="1">
      <c r="A593" s="9" t="n"/>
      <c r="B593" s="9" t="n"/>
      <c r="C593" s="2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" customHeight="1">
      <c r="A594" s="9" t="n"/>
      <c r="B594" s="9" t="n"/>
      <c r="C594" s="2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" customHeight="1">
      <c r="A595" s="9" t="n"/>
      <c r="B595" s="9" t="n"/>
      <c r="C595" s="2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" customHeight="1">
      <c r="A596" s="9" t="n"/>
      <c r="B596" s="9" t="n"/>
      <c r="C596" s="2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" customHeight="1">
      <c r="A597" s="9" t="n"/>
      <c r="B597" s="9" t="n"/>
      <c r="C597" s="2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" customHeight="1">
      <c r="A598" s="9" t="n"/>
      <c r="B598" s="9" t="n"/>
      <c r="C598" s="2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" customHeight="1">
      <c r="A599" s="9" t="n"/>
      <c r="B599" s="9" t="n"/>
      <c r="C599" s="2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" customHeight="1">
      <c r="A600" s="9" t="n"/>
      <c r="B600" s="9" t="n"/>
      <c r="C600" s="2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" customHeight="1">
      <c r="A601" s="9" t="n"/>
      <c r="B601" s="9" t="n"/>
      <c r="C601" s="2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" customHeight="1">
      <c r="A602" s="9" t="n"/>
      <c r="B602" s="9" t="n"/>
      <c r="C602" s="2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" customHeight="1">
      <c r="A603" s="9" t="n"/>
      <c r="B603" s="9" t="n"/>
      <c r="C603" s="2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" customHeight="1">
      <c r="A604" s="9" t="n"/>
      <c r="B604" s="9" t="n"/>
      <c r="C604" s="2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" customHeight="1">
      <c r="A605" s="9" t="n"/>
      <c r="B605" s="9" t="n"/>
      <c r="C605" s="2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" customHeight="1">
      <c r="A606" s="9" t="n"/>
      <c r="B606" s="9" t="n"/>
      <c r="C606" s="2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" customHeight="1">
      <c r="A607" s="9" t="n"/>
      <c r="B607" s="9" t="n"/>
      <c r="C607" s="2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" customHeight="1">
      <c r="A608" s="9" t="n"/>
      <c r="B608" s="9" t="n"/>
      <c r="C608" s="2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" customHeight="1">
      <c r="A609" s="9" t="n"/>
      <c r="B609" s="9" t="n"/>
      <c r="C609" s="2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" customHeight="1">
      <c r="A610" s="9" t="n"/>
      <c r="B610" s="9" t="n"/>
      <c r="C610" s="2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" customHeight="1">
      <c r="A611" s="9" t="n"/>
      <c r="B611" s="9" t="n"/>
      <c r="C611" s="2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" customHeight="1">
      <c r="A612" s="9" t="n"/>
      <c r="B612" s="9" t="n"/>
      <c r="C612" s="2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" customHeight="1">
      <c r="A613" s="9" t="n"/>
      <c r="B613" s="9" t="n"/>
      <c r="C613" s="2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" customHeight="1">
      <c r="A614" s="9" t="n"/>
      <c r="B614" s="9" t="n"/>
      <c r="C614" s="2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" customHeight="1">
      <c r="A615" s="9" t="n"/>
      <c r="B615" s="9" t="n"/>
      <c r="C615" s="2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" customHeight="1">
      <c r="A616" s="9" t="n"/>
      <c r="B616" s="9" t="n"/>
      <c r="C616" s="2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" customHeight="1">
      <c r="A617" s="9" t="n"/>
      <c r="B617" s="9" t="n"/>
      <c r="C617" s="2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" customHeight="1">
      <c r="A618" s="9" t="n"/>
      <c r="B618" s="9" t="n"/>
      <c r="C618" s="2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" customHeight="1">
      <c r="A619" s="9" t="n"/>
      <c r="B619" s="9" t="n"/>
      <c r="C619" s="2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" customHeight="1">
      <c r="A620" s="9" t="n"/>
      <c r="B620" s="9" t="n"/>
      <c r="C620" s="2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" customHeight="1">
      <c r="A621" s="9" t="n"/>
      <c r="B621" s="9" t="n"/>
      <c r="C621" s="2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" customHeight="1">
      <c r="A622" s="9" t="n"/>
      <c r="B622" s="9" t="n"/>
      <c r="C622" s="2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" customHeight="1">
      <c r="A623" s="9" t="n"/>
      <c r="B623" s="9" t="n"/>
      <c r="C623" s="2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" customHeight="1">
      <c r="A624" s="9" t="n"/>
      <c r="B624" s="9" t="n"/>
      <c r="C624" s="2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" customHeight="1">
      <c r="A625" s="9" t="n"/>
      <c r="B625" s="9" t="n"/>
      <c r="C625" s="2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" customHeight="1">
      <c r="A626" s="9" t="n"/>
      <c r="B626" s="9" t="n"/>
      <c r="C626" s="2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" customHeight="1">
      <c r="A627" s="9" t="n"/>
      <c r="B627" s="9" t="n"/>
      <c r="C627" s="2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" customHeight="1">
      <c r="A628" s="9" t="n"/>
      <c r="B628" s="9" t="n"/>
      <c r="C628" s="2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" customHeight="1">
      <c r="A629" s="9" t="n"/>
      <c r="B629" s="9" t="n"/>
      <c r="C629" s="2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" customHeight="1">
      <c r="A630" s="9" t="n"/>
      <c r="B630" s="9" t="n"/>
      <c r="C630" s="2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" customHeight="1">
      <c r="A631" s="9" t="n"/>
      <c r="B631" s="9" t="n"/>
      <c r="C631" s="2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" customHeight="1">
      <c r="A632" s="9" t="n"/>
      <c r="B632" s="9" t="n"/>
      <c r="C632" s="2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" customHeight="1">
      <c r="A633" s="9" t="n"/>
      <c r="B633" s="9" t="n"/>
      <c r="C633" s="2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" customHeight="1">
      <c r="A634" s="9" t="n"/>
      <c r="B634" s="9" t="n"/>
      <c r="C634" s="2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" customHeight="1">
      <c r="A635" s="9" t="n"/>
      <c r="B635" s="9" t="n"/>
      <c r="C635" s="2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" customHeight="1">
      <c r="A636" s="9" t="n"/>
      <c r="B636" s="9" t="n"/>
      <c r="C636" s="2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" customHeight="1">
      <c r="A637" s="9" t="n"/>
      <c r="B637" s="9" t="n"/>
      <c r="C637" s="2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" customHeight="1">
      <c r="A638" s="9" t="n"/>
      <c r="B638" s="9" t="n"/>
      <c r="C638" s="2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" customHeight="1">
      <c r="A639" s="9" t="n"/>
      <c r="B639" s="9" t="n"/>
      <c r="C639" s="2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" customHeight="1">
      <c r="A640" s="9" t="n"/>
      <c r="B640" s="9" t="n"/>
      <c r="C640" s="2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" customHeight="1">
      <c r="A641" s="9" t="n"/>
      <c r="B641" s="9" t="n"/>
      <c r="C641" s="2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" customHeight="1">
      <c r="A642" s="9" t="n"/>
      <c r="B642" s="9" t="n"/>
      <c r="C642" s="2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" customHeight="1">
      <c r="A643" s="9" t="n"/>
      <c r="B643" s="9" t="n"/>
      <c r="C643" s="2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" customHeight="1">
      <c r="A644" s="9" t="n"/>
      <c r="B644" s="9" t="n"/>
      <c r="C644" s="2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" customHeight="1">
      <c r="A645" s="9" t="n"/>
      <c r="B645" s="9" t="n"/>
      <c r="C645" s="2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" customHeight="1">
      <c r="A646" s="9" t="n"/>
      <c r="B646" s="9" t="n"/>
      <c r="C646" s="2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" customHeight="1">
      <c r="A647" s="9" t="n"/>
      <c r="B647" s="9" t="n"/>
      <c r="C647" s="2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" customHeight="1">
      <c r="A648" s="9" t="n"/>
      <c r="B648" s="9" t="n"/>
      <c r="C648" s="2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" customHeight="1">
      <c r="A649" s="9" t="n"/>
      <c r="B649" s="9" t="n"/>
      <c r="C649" s="2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" customHeight="1">
      <c r="A650" s="9" t="n"/>
      <c r="B650" s="9" t="n"/>
      <c r="C650" s="2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" customHeight="1">
      <c r="A651" s="9" t="n"/>
      <c r="B651" s="9" t="n"/>
      <c r="C651" s="2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" customHeight="1">
      <c r="A652" s="9" t="n"/>
      <c r="B652" s="9" t="n"/>
      <c r="C652" s="2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" customHeight="1">
      <c r="A653" s="9" t="n"/>
      <c r="B653" s="9" t="n"/>
      <c r="C653" s="2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" customHeight="1">
      <c r="A654" s="9" t="n"/>
      <c r="B654" s="9" t="n"/>
      <c r="C654" s="2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" customHeight="1">
      <c r="A655" s="9" t="n"/>
      <c r="B655" s="9" t="n"/>
      <c r="C655" s="2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" customHeight="1">
      <c r="A656" s="9" t="n"/>
      <c r="B656" s="9" t="n"/>
      <c r="C656" s="2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" customHeight="1">
      <c r="A657" s="9" t="n"/>
      <c r="B657" s="9" t="n"/>
      <c r="C657" s="2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" customHeight="1">
      <c r="A658" s="9" t="n"/>
      <c r="B658" s="9" t="n"/>
      <c r="C658" s="2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" customHeight="1">
      <c r="A659" s="9" t="n"/>
      <c r="B659" s="9" t="n"/>
      <c r="C659" s="2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" customHeight="1">
      <c r="A660" s="9" t="n"/>
      <c r="B660" s="9" t="n"/>
      <c r="C660" s="2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" customHeight="1">
      <c r="A661" s="9" t="n"/>
      <c r="B661" s="9" t="n"/>
      <c r="C661" s="2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" customHeight="1">
      <c r="A662" s="9" t="n"/>
      <c r="B662" s="9" t="n"/>
      <c r="C662" s="2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" customHeight="1">
      <c r="A663" s="9" t="n"/>
      <c r="B663" s="9" t="n"/>
      <c r="C663" s="2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" customHeight="1">
      <c r="A664" s="9" t="n"/>
      <c r="B664" s="9" t="n"/>
      <c r="C664" s="2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" customHeight="1">
      <c r="A665" s="9" t="n"/>
      <c r="B665" s="9" t="n"/>
      <c r="C665" s="2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" customHeight="1">
      <c r="A666" s="9" t="n"/>
      <c r="B666" s="9" t="n"/>
      <c r="C666" s="2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" customHeight="1">
      <c r="A667" s="9" t="n"/>
      <c r="B667" s="9" t="n"/>
      <c r="C667" s="2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" customHeight="1">
      <c r="A668" s="9" t="n"/>
      <c r="B668" s="9" t="n"/>
      <c r="C668" s="2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" customHeight="1">
      <c r="A669" s="9" t="n"/>
      <c r="B669" s="9" t="n"/>
      <c r="C669" s="2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" customHeight="1">
      <c r="A670" s="9" t="n"/>
      <c r="B670" s="9" t="n"/>
      <c r="C670" s="2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" customHeight="1">
      <c r="A671" s="9" t="n"/>
      <c r="B671" s="9" t="n"/>
      <c r="C671" s="2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" customHeight="1">
      <c r="A672" s="9" t="n"/>
      <c r="B672" s="9" t="n"/>
      <c r="C672" s="2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" customHeight="1">
      <c r="A673" s="9" t="n"/>
      <c r="B673" s="9" t="n"/>
      <c r="C673" s="2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" customHeight="1">
      <c r="A674" s="9" t="n"/>
      <c r="B674" s="9" t="n"/>
      <c r="C674" s="2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" customHeight="1">
      <c r="A675" s="9" t="n"/>
      <c r="B675" s="9" t="n"/>
      <c r="C675" s="2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" customHeight="1">
      <c r="A676" s="9" t="n"/>
      <c r="B676" s="9" t="n"/>
      <c r="C676" s="2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" customHeight="1">
      <c r="A677" s="9" t="n"/>
      <c r="B677" s="9" t="n"/>
      <c r="C677" s="2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" customHeight="1">
      <c r="A678" s="9" t="n"/>
      <c r="B678" s="9" t="n"/>
      <c r="C678" s="2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" customHeight="1">
      <c r="A679" s="9" t="n"/>
      <c r="B679" s="9" t="n"/>
      <c r="C679" s="2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" customHeight="1">
      <c r="A680" s="9" t="n"/>
      <c r="B680" s="9" t="n"/>
      <c r="C680" s="2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" customHeight="1">
      <c r="A681" s="9" t="n"/>
      <c r="B681" s="9" t="n"/>
      <c r="C681" s="2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" customHeight="1">
      <c r="A682" s="9" t="n"/>
      <c r="B682" s="9" t="n"/>
      <c r="C682" s="2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" customHeight="1">
      <c r="A683" s="9" t="n"/>
      <c r="B683" s="9" t="n"/>
      <c r="C683" s="2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" customHeight="1">
      <c r="A684" s="9" t="n"/>
      <c r="B684" s="9" t="n"/>
      <c r="C684" s="2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" customHeight="1">
      <c r="A685" s="9" t="n"/>
      <c r="B685" s="9" t="n"/>
      <c r="C685" s="2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" customHeight="1">
      <c r="A686" s="9" t="n"/>
      <c r="B686" s="9" t="n"/>
      <c r="C686" s="2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" customHeight="1">
      <c r="A687" s="9" t="n"/>
      <c r="B687" s="9" t="n"/>
      <c r="C687" s="2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" customHeight="1">
      <c r="A688" s="9" t="n"/>
      <c r="B688" s="9" t="n"/>
      <c r="C688" s="2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" customHeight="1">
      <c r="A689" s="9" t="n"/>
      <c r="B689" s="9" t="n"/>
      <c r="C689" s="2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" customHeight="1">
      <c r="A690" s="9" t="n"/>
      <c r="B690" s="9" t="n"/>
      <c r="C690" s="2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" customHeight="1">
      <c r="A691" s="9" t="n"/>
      <c r="B691" s="9" t="n"/>
      <c r="C691" s="2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" customHeight="1">
      <c r="A692" s="9" t="n"/>
      <c r="B692" s="9" t="n"/>
      <c r="C692" s="2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" customHeight="1">
      <c r="A693" s="9" t="n"/>
      <c r="B693" s="9" t="n"/>
      <c r="C693" s="2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" customHeight="1">
      <c r="A694" s="9" t="n"/>
      <c r="B694" s="9" t="n"/>
      <c r="C694" s="2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" customHeight="1">
      <c r="A695" s="9" t="n"/>
      <c r="B695" s="9" t="n"/>
      <c r="C695" s="2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" customHeight="1">
      <c r="A696" s="9" t="n"/>
      <c r="B696" s="9" t="n"/>
      <c r="C696" s="2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" customHeight="1">
      <c r="A697" s="9" t="n"/>
      <c r="B697" s="9" t="n"/>
      <c r="C697" s="2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" customHeight="1">
      <c r="A698" s="9" t="n"/>
      <c r="B698" s="9" t="n"/>
      <c r="C698" s="2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" customHeight="1">
      <c r="A699" s="9" t="n"/>
      <c r="B699" s="9" t="n"/>
      <c r="C699" s="2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" customHeight="1">
      <c r="A700" s="9" t="n"/>
      <c r="B700" s="9" t="n"/>
      <c r="C700" s="2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" customHeight="1">
      <c r="A701" s="9" t="n"/>
      <c r="B701" s="9" t="n"/>
      <c r="C701" s="2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" customHeight="1">
      <c r="A702" s="9" t="n"/>
      <c r="B702" s="9" t="n"/>
      <c r="C702" s="2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" customHeight="1">
      <c r="A703" s="9" t="n"/>
      <c r="B703" s="9" t="n"/>
      <c r="C703" s="2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" customHeight="1">
      <c r="A704" s="9" t="n"/>
      <c r="B704" s="9" t="n"/>
      <c r="C704" s="2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" customHeight="1">
      <c r="A705" s="9" t="n"/>
      <c r="B705" s="9" t="n"/>
      <c r="C705" s="2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" customHeight="1">
      <c r="A706" s="9" t="n"/>
      <c r="B706" s="9" t="n"/>
      <c r="C706" s="2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" customHeight="1">
      <c r="A707" s="9" t="n"/>
      <c r="B707" s="9" t="n"/>
      <c r="C707" s="2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" customHeight="1">
      <c r="A708" s="9" t="n"/>
      <c r="B708" s="9" t="n"/>
      <c r="C708" s="2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" customHeight="1">
      <c r="A709" s="9" t="n"/>
      <c r="B709" s="9" t="n"/>
      <c r="C709" s="2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" customHeight="1">
      <c r="A710" s="9" t="n"/>
      <c r="B710" s="9" t="n"/>
      <c r="C710" s="2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" customHeight="1">
      <c r="A711" s="9" t="n"/>
      <c r="B711" s="9" t="n"/>
      <c r="C711" s="2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" customHeight="1">
      <c r="A712" s="9" t="n"/>
      <c r="B712" s="9" t="n"/>
      <c r="C712" s="2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" customHeight="1">
      <c r="A713" s="9" t="n"/>
      <c r="B713" s="9" t="n"/>
      <c r="C713" s="2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" customHeight="1">
      <c r="A714" s="9" t="n"/>
      <c r="B714" s="9" t="n"/>
      <c r="C714" s="2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" customHeight="1">
      <c r="A715" s="9" t="n"/>
      <c r="B715" s="9" t="n"/>
      <c r="C715" s="2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" customHeight="1">
      <c r="A716" s="9" t="n"/>
      <c r="B716" s="9" t="n"/>
      <c r="C716" s="2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" customHeight="1">
      <c r="A717" s="9" t="n"/>
      <c r="B717" s="9" t="n"/>
      <c r="C717" s="2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" customHeight="1">
      <c r="A718" s="9" t="n"/>
      <c r="B718" s="9" t="n"/>
      <c r="C718" s="2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" customHeight="1">
      <c r="A719" s="9" t="n"/>
      <c r="B719" s="9" t="n"/>
      <c r="C719" s="2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" customHeight="1">
      <c r="A720" s="9" t="n"/>
      <c r="B720" s="9" t="n"/>
      <c r="C720" s="2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" customHeight="1">
      <c r="A721" s="9" t="n"/>
      <c r="B721" s="9" t="n"/>
      <c r="C721" s="2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" customHeight="1">
      <c r="A722" s="9" t="n"/>
      <c r="B722" s="9" t="n"/>
      <c r="C722" s="2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" customHeight="1">
      <c r="A723" s="9" t="n"/>
      <c r="B723" s="9" t="n"/>
      <c r="C723" s="2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" customHeight="1">
      <c r="A724" s="9" t="n"/>
      <c r="B724" s="9" t="n"/>
      <c r="C724" s="2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" customHeight="1">
      <c r="A725" s="9" t="n"/>
      <c r="B725" s="9" t="n"/>
      <c r="C725" s="2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" customHeight="1">
      <c r="A726" s="9" t="n"/>
      <c r="B726" s="9" t="n"/>
      <c r="C726" s="2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" customHeight="1">
      <c r="A727" s="9" t="n"/>
      <c r="B727" s="9" t="n"/>
      <c r="C727" s="2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" customHeight="1">
      <c r="A728" s="9" t="n"/>
      <c r="B728" s="9" t="n"/>
      <c r="C728" s="2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" customHeight="1">
      <c r="A729" s="9" t="n"/>
      <c r="B729" s="9" t="n"/>
      <c r="C729" s="2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" customHeight="1">
      <c r="A730" s="9" t="n"/>
      <c r="B730" s="9" t="n"/>
      <c r="C730" s="2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" customHeight="1">
      <c r="A731" s="9" t="n"/>
      <c r="B731" s="9" t="n"/>
      <c r="C731" s="2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" customHeight="1">
      <c r="A732" s="9" t="n"/>
      <c r="B732" s="9" t="n"/>
      <c r="C732" s="2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" customHeight="1">
      <c r="A733" s="9" t="n"/>
      <c r="B733" s="9" t="n"/>
      <c r="C733" s="2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" customHeight="1">
      <c r="A734" s="9" t="n"/>
      <c r="B734" s="9" t="n"/>
      <c r="C734" s="2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" customHeight="1">
      <c r="A735" s="9" t="n"/>
      <c r="B735" s="9" t="n"/>
      <c r="C735" s="2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" customHeight="1">
      <c r="A736" s="9" t="n"/>
      <c r="B736" s="9" t="n"/>
      <c r="C736" s="2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" customHeight="1">
      <c r="A737" s="9" t="n"/>
      <c r="B737" s="9" t="n"/>
      <c r="C737" s="2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" customHeight="1">
      <c r="A738" s="9" t="n"/>
      <c r="B738" s="9" t="n"/>
      <c r="C738" s="2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" customHeight="1">
      <c r="A739" s="9" t="n"/>
      <c r="B739" s="9" t="n"/>
      <c r="C739" s="2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" customHeight="1">
      <c r="A740" s="9" t="n"/>
      <c r="B740" s="9" t="n"/>
      <c r="C740" s="2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" customHeight="1">
      <c r="A741" s="9" t="n"/>
      <c r="B741" s="9" t="n"/>
      <c r="C741" s="2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" customHeight="1">
      <c r="A742" s="9" t="n"/>
      <c r="B742" s="9" t="n"/>
      <c r="C742" s="2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" customHeight="1">
      <c r="A743" s="9" t="n"/>
      <c r="B743" s="9" t="n"/>
      <c r="C743" s="2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" customHeight="1">
      <c r="A744" s="9" t="n"/>
      <c r="B744" s="9" t="n"/>
      <c r="C744" s="2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" customHeight="1">
      <c r="A745" s="9" t="n"/>
      <c r="B745" s="9" t="n"/>
      <c r="C745" s="2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" customHeight="1">
      <c r="A746" s="9" t="n"/>
      <c r="B746" s="9" t="n"/>
      <c r="C746" s="2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" customHeight="1">
      <c r="A747" s="9" t="n"/>
      <c r="B747" s="9" t="n"/>
      <c r="C747" s="2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" customHeight="1">
      <c r="A748" s="9" t="n"/>
      <c r="B748" s="9" t="n"/>
      <c r="C748" s="2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" customHeight="1">
      <c r="A749" s="9" t="n"/>
      <c r="B749" s="9" t="n"/>
      <c r="C749" s="2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" customHeight="1">
      <c r="A750" s="9" t="n"/>
      <c r="B750" s="9" t="n"/>
      <c r="C750" s="2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" customHeight="1">
      <c r="A751" s="9" t="n"/>
      <c r="B751" s="9" t="n"/>
      <c r="C751" s="2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" customHeight="1">
      <c r="A752" s="9" t="n"/>
      <c r="B752" s="9" t="n"/>
      <c r="C752" s="2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" customHeight="1">
      <c r="A753" s="9" t="n"/>
      <c r="B753" s="9" t="n"/>
      <c r="C753" s="2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" customHeight="1">
      <c r="A754" s="9" t="n"/>
      <c r="B754" s="9" t="n"/>
      <c r="C754" s="2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" customHeight="1">
      <c r="A755" s="9" t="n"/>
      <c r="B755" s="9" t="n"/>
      <c r="C755" s="2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" customHeight="1">
      <c r="A756" s="9" t="n"/>
      <c r="B756" s="9" t="n"/>
      <c r="C756" s="2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" customHeight="1">
      <c r="A757" s="9" t="n"/>
      <c r="B757" s="9" t="n"/>
      <c r="C757" s="2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" customHeight="1">
      <c r="A758" s="9" t="n"/>
      <c r="B758" s="9" t="n"/>
      <c r="C758" s="2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" customHeight="1">
      <c r="A759" s="9" t="n"/>
      <c r="B759" s="9" t="n"/>
      <c r="C759" s="2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" customHeight="1">
      <c r="A760" s="9" t="n"/>
      <c r="B760" s="9" t="n"/>
      <c r="C760" s="2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" customHeight="1">
      <c r="A761" s="9" t="n"/>
      <c r="B761" s="9" t="n"/>
      <c r="C761" s="2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" customHeight="1">
      <c r="A762" s="9" t="n"/>
      <c r="B762" s="9" t="n"/>
      <c r="C762" s="2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" customHeight="1">
      <c r="A763" s="9" t="n"/>
      <c r="B763" s="9" t="n"/>
      <c r="C763" s="2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" customHeight="1">
      <c r="A764" s="9" t="n"/>
      <c r="B764" s="9" t="n"/>
      <c r="C764" s="2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" customHeight="1">
      <c r="A765" s="9" t="n"/>
      <c r="B765" s="9" t="n"/>
      <c r="C765" s="2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" customHeight="1">
      <c r="A766" s="9" t="n"/>
      <c r="B766" s="9" t="n"/>
      <c r="C766" s="2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" customHeight="1">
      <c r="A767" s="9" t="n"/>
      <c r="B767" s="9" t="n"/>
      <c r="C767" s="2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" customHeight="1">
      <c r="A768" s="9" t="n"/>
      <c r="B768" s="9" t="n"/>
      <c r="C768" s="2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" customHeight="1">
      <c r="A769" s="9" t="n"/>
      <c r="B769" s="9" t="n"/>
      <c r="C769" s="2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" customHeight="1">
      <c r="A770" s="9" t="n"/>
      <c r="B770" s="9" t="n"/>
      <c r="C770" s="2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" customHeight="1">
      <c r="A771" s="9" t="n"/>
      <c r="B771" s="9" t="n"/>
      <c r="C771" s="2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" customHeight="1">
      <c r="A772" s="9" t="n"/>
      <c r="B772" s="9" t="n"/>
      <c r="C772" s="2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" customHeight="1">
      <c r="A773" s="9" t="n"/>
      <c r="B773" s="9" t="n"/>
      <c r="C773" s="2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" customHeight="1">
      <c r="A774" s="9" t="n"/>
      <c r="B774" s="9" t="n"/>
      <c r="C774" s="2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" customHeight="1">
      <c r="A775" s="9" t="n"/>
      <c r="B775" s="9" t="n"/>
      <c r="C775" s="2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" customHeight="1">
      <c r="A776" s="9" t="n"/>
      <c r="B776" s="9" t="n"/>
      <c r="C776" s="2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" customHeight="1">
      <c r="A777" s="9" t="n"/>
      <c r="B777" s="9" t="n"/>
      <c r="C777" s="2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" customHeight="1">
      <c r="A778" s="9" t="n"/>
      <c r="B778" s="9" t="n"/>
      <c r="C778" s="2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" customHeight="1">
      <c r="A779" s="9" t="n"/>
      <c r="B779" s="9" t="n"/>
      <c r="C779" s="2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" customHeight="1">
      <c r="A780" s="9" t="n"/>
      <c r="B780" s="9" t="n"/>
      <c r="C780" s="2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" customHeight="1">
      <c r="A781" s="9" t="n"/>
      <c r="B781" s="9" t="n"/>
      <c r="C781" s="2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" customHeight="1">
      <c r="A782" s="9" t="n"/>
      <c r="B782" s="9" t="n"/>
      <c r="C782" s="2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" customHeight="1">
      <c r="A783" s="9" t="n"/>
      <c r="B783" s="9" t="n"/>
      <c r="C783" s="2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" customHeight="1">
      <c r="A784" s="9" t="n"/>
      <c r="B784" s="9" t="n"/>
      <c r="C784" s="2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" customHeight="1">
      <c r="A785" s="9" t="n"/>
      <c r="B785" s="9" t="n"/>
      <c r="C785" s="2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" customHeight="1">
      <c r="A786" s="9" t="n"/>
      <c r="B786" s="9" t="n"/>
      <c r="C786" s="2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" customHeight="1">
      <c r="A787" s="9" t="n"/>
      <c r="B787" s="9" t="n"/>
      <c r="C787" s="2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" customHeight="1">
      <c r="A788" s="9" t="n"/>
      <c r="B788" s="9" t="n"/>
      <c r="C788" s="2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" customHeight="1">
      <c r="A789" s="9" t="n"/>
      <c r="B789" s="9" t="n"/>
      <c r="C789" s="2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" customHeight="1">
      <c r="A790" s="9" t="n"/>
      <c r="B790" s="9" t="n"/>
      <c r="C790" s="2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" customHeight="1">
      <c r="A791" s="9" t="n"/>
      <c r="B791" s="9" t="n"/>
      <c r="C791" s="2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" customHeight="1">
      <c r="A792" s="9" t="n"/>
      <c r="B792" s="9" t="n"/>
      <c r="C792" s="2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" customHeight="1">
      <c r="A793" s="9" t="n"/>
      <c r="B793" s="9" t="n"/>
      <c r="C793" s="2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" customHeight="1">
      <c r="A794" s="9" t="n"/>
      <c r="B794" s="9" t="n"/>
      <c r="C794" s="2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" customHeight="1">
      <c r="A795" s="9" t="n"/>
      <c r="B795" s="9" t="n"/>
      <c r="C795" s="2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" customHeight="1">
      <c r="A796" s="9" t="n"/>
      <c r="B796" s="9" t="n"/>
      <c r="C796" s="2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" customHeight="1">
      <c r="A797" s="9" t="n"/>
      <c r="B797" s="9" t="n"/>
      <c r="C797" s="2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" customHeight="1">
      <c r="A798" s="9" t="n"/>
      <c r="B798" s="9" t="n"/>
      <c r="C798" s="2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" customHeight="1">
      <c r="A799" s="9" t="n"/>
      <c r="B799" s="9" t="n"/>
      <c r="C799" s="2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" customHeight="1">
      <c r="A800" s="9" t="n"/>
      <c r="B800" s="9" t="n"/>
      <c r="C800" s="2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" customHeight="1">
      <c r="A801" s="9" t="n"/>
      <c r="B801" s="9" t="n"/>
      <c r="C801" s="2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" customHeight="1">
      <c r="A802" s="9" t="n"/>
      <c r="B802" s="9" t="n"/>
      <c r="C802" s="2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" customHeight="1">
      <c r="A803" s="9" t="n"/>
      <c r="B803" s="9" t="n"/>
      <c r="C803" s="2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" customHeight="1">
      <c r="A804" s="9" t="n"/>
      <c r="B804" s="9" t="n"/>
      <c r="C804" s="2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" customHeight="1">
      <c r="A805" s="9" t="n"/>
      <c r="B805" s="9" t="n"/>
      <c r="C805" s="2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" customHeight="1">
      <c r="A806" s="9" t="n"/>
      <c r="B806" s="9" t="n"/>
      <c r="C806" s="2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" customHeight="1">
      <c r="A807" s="9" t="n"/>
      <c r="B807" s="9" t="n"/>
      <c r="C807" s="2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" customHeight="1">
      <c r="A808" s="9" t="n"/>
      <c r="B808" s="9" t="n"/>
      <c r="C808" s="2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" customHeight="1">
      <c r="A809" s="9" t="n"/>
      <c r="B809" s="9" t="n"/>
      <c r="C809" s="2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" customHeight="1">
      <c r="A810" s="9" t="n"/>
      <c r="B810" s="9" t="n"/>
      <c r="C810" s="2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" customHeight="1">
      <c r="A811" s="9" t="n"/>
      <c r="B811" s="9" t="n"/>
      <c r="C811" s="2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" customHeight="1">
      <c r="A812" s="9" t="n"/>
      <c r="B812" s="9" t="n"/>
      <c r="C812" s="2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" customHeight="1">
      <c r="A813" s="9" t="n"/>
      <c r="B813" s="9" t="n"/>
      <c r="C813" s="2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" customHeight="1">
      <c r="A814" s="9" t="n"/>
      <c r="B814" s="9" t="n"/>
      <c r="C814" s="2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" customHeight="1">
      <c r="A815" s="9" t="n"/>
      <c r="B815" s="9" t="n"/>
      <c r="C815" s="2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" customHeight="1">
      <c r="A816" s="9" t="n"/>
      <c r="B816" s="9" t="n"/>
      <c r="C816" s="2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" customHeight="1">
      <c r="A817" s="9" t="n"/>
      <c r="B817" s="9" t="n"/>
      <c r="C817" s="2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" customHeight="1">
      <c r="A818" s="9" t="n"/>
      <c r="B818" s="9" t="n"/>
      <c r="C818" s="2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" customHeight="1">
      <c r="A819" s="9" t="n"/>
      <c r="B819" s="9" t="n"/>
      <c r="C819" s="2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" customHeight="1">
      <c r="A820" s="9" t="n"/>
      <c r="B820" s="9" t="n"/>
      <c r="C820" s="2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" customHeight="1">
      <c r="A821" s="9" t="n"/>
      <c r="B821" s="9" t="n"/>
      <c r="C821" s="2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" customHeight="1">
      <c r="A822" s="9" t="n"/>
      <c r="B822" s="9" t="n"/>
      <c r="C822" s="2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" customHeight="1">
      <c r="A823" s="9" t="n"/>
      <c r="B823" s="9" t="n"/>
      <c r="C823" s="2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" customHeight="1">
      <c r="A824" s="9" t="n"/>
      <c r="B824" s="9" t="n"/>
      <c r="C824" s="2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" customHeight="1">
      <c r="A825" s="9" t="n"/>
      <c r="B825" s="9" t="n"/>
      <c r="C825" s="2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" customHeight="1">
      <c r="A826" s="9" t="n"/>
      <c r="B826" s="9" t="n"/>
      <c r="C826" s="2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" customHeight="1">
      <c r="A827" s="9" t="n"/>
      <c r="B827" s="9" t="n"/>
      <c r="C827" s="2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" customHeight="1">
      <c r="A828" s="9" t="n"/>
      <c r="B828" s="9" t="n"/>
      <c r="C828" s="2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" customHeight="1">
      <c r="A829" s="9" t="n"/>
      <c r="B829" s="9" t="n"/>
      <c r="C829" s="2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" customHeight="1">
      <c r="A830" s="9" t="n"/>
      <c r="B830" s="9" t="n"/>
      <c r="C830" s="2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" customHeight="1">
      <c r="A831" s="9" t="n"/>
      <c r="B831" s="9" t="n"/>
      <c r="C831" s="2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" customHeight="1">
      <c r="A832" s="9" t="n"/>
      <c r="B832" s="9" t="n"/>
      <c r="C832" s="2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" customHeight="1">
      <c r="A833" s="9" t="n"/>
      <c r="B833" s="9" t="n"/>
      <c r="C833" s="2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" customHeight="1">
      <c r="A834" s="9" t="n"/>
      <c r="B834" s="9" t="n"/>
      <c r="C834" s="2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" customHeight="1">
      <c r="A835" s="9" t="n"/>
      <c r="B835" s="9" t="n"/>
      <c r="C835" s="2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" customHeight="1">
      <c r="A836" s="9" t="n"/>
      <c r="B836" s="9" t="n"/>
      <c r="C836" s="2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" customHeight="1">
      <c r="A837" s="9" t="n"/>
      <c r="B837" s="9" t="n"/>
      <c r="C837" s="2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" customHeight="1">
      <c r="A838" s="9" t="n"/>
      <c r="B838" s="9" t="n"/>
      <c r="C838" s="2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" customHeight="1">
      <c r="A839" s="9" t="n"/>
      <c r="B839" s="9" t="n"/>
      <c r="C839" s="2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" customHeight="1">
      <c r="A840" s="9" t="n"/>
      <c r="B840" s="9" t="n"/>
      <c r="C840" s="2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" customHeight="1">
      <c r="A841" s="9" t="n"/>
      <c r="B841" s="9" t="n"/>
      <c r="C841" s="2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" customHeight="1">
      <c r="A842" s="9" t="n"/>
      <c r="B842" s="9" t="n"/>
      <c r="C842" s="2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" customHeight="1">
      <c r="A843" s="9" t="n"/>
      <c r="B843" s="9" t="n"/>
      <c r="C843" s="2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" customHeight="1">
      <c r="A844" s="9" t="n"/>
      <c r="B844" s="9" t="n"/>
      <c r="C844" s="2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" customHeight="1">
      <c r="A845" s="9" t="n"/>
      <c r="B845" s="9" t="n"/>
      <c r="C845" s="2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" customHeight="1">
      <c r="A846" s="9" t="n"/>
      <c r="B846" s="9" t="n"/>
      <c r="C846" s="2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" customHeight="1">
      <c r="A847" s="9" t="n"/>
      <c r="B847" s="9" t="n"/>
      <c r="C847" s="2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" customHeight="1">
      <c r="A848" s="9" t="n"/>
      <c r="B848" s="9" t="n"/>
      <c r="C848" s="2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" customHeight="1">
      <c r="A849" s="9" t="n"/>
      <c r="B849" s="9" t="n"/>
      <c r="C849" s="2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" customHeight="1">
      <c r="A850" s="9" t="n"/>
      <c r="B850" s="9" t="n"/>
      <c r="C850" s="2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" customHeight="1">
      <c r="A851" s="9" t="n"/>
      <c r="B851" s="9" t="n"/>
      <c r="C851" s="2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" customHeight="1">
      <c r="A852" s="9" t="n"/>
      <c r="B852" s="9" t="n"/>
      <c r="C852" s="2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" customHeight="1">
      <c r="A853" s="9" t="n"/>
      <c r="B853" s="9" t="n"/>
      <c r="C853" s="2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" customHeight="1">
      <c r="A854" s="9" t="n"/>
      <c r="B854" s="9" t="n"/>
      <c r="C854" s="2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" customHeight="1">
      <c r="A855" s="9" t="n"/>
      <c r="B855" s="9" t="n"/>
      <c r="C855" s="2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" customHeight="1">
      <c r="A856" s="9" t="n"/>
      <c r="B856" s="9" t="n"/>
      <c r="C856" s="2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" customHeight="1">
      <c r="A857" s="9" t="n"/>
      <c r="B857" s="9" t="n"/>
      <c r="C857" s="2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" customHeight="1">
      <c r="A858" s="9" t="n"/>
      <c r="B858" s="9" t="n"/>
      <c r="C858" s="2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" customHeight="1">
      <c r="A859" s="9" t="n"/>
      <c r="B859" s="9" t="n"/>
      <c r="C859" s="2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" customHeight="1">
      <c r="A860" s="9" t="n"/>
      <c r="B860" s="9" t="n"/>
      <c r="C860" s="2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" customHeight="1">
      <c r="A861" s="9" t="n"/>
      <c r="B861" s="9" t="n"/>
      <c r="C861" s="2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" customHeight="1">
      <c r="A862" s="9" t="n"/>
      <c r="B862" s="9" t="n"/>
      <c r="C862" s="2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" customHeight="1">
      <c r="A863" s="9" t="n"/>
      <c r="B863" s="9" t="n"/>
      <c r="C863" s="2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" customHeight="1">
      <c r="A864" s="9" t="n"/>
      <c r="B864" s="9" t="n"/>
      <c r="C864" s="2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" customHeight="1">
      <c r="A865" s="9" t="n"/>
      <c r="B865" s="9" t="n"/>
      <c r="C865" s="2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" customHeight="1">
      <c r="A866" s="9" t="n"/>
      <c r="B866" s="9" t="n"/>
      <c r="C866" s="2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" customHeight="1">
      <c r="A867" s="9" t="n"/>
      <c r="B867" s="9" t="n"/>
      <c r="C867" s="2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" customHeight="1">
      <c r="A868" s="9" t="n"/>
      <c r="B868" s="9" t="n"/>
      <c r="C868" s="2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" customHeight="1">
      <c r="A869" s="9" t="n"/>
      <c r="B869" s="9" t="n"/>
      <c r="C869" s="2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" customHeight="1">
      <c r="A870" s="9" t="n"/>
      <c r="B870" s="9" t="n"/>
      <c r="C870" s="2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" customHeight="1">
      <c r="A871" s="9" t="n"/>
      <c r="B871" s="9" t="n"/>
      <c r="C871" s="2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" customHeight="1">
      <c r="A872" s="9" t="n"/>
      <c r="B872" s="9" t="n"/>
      <c r="C872" s="2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" customHeight="1">
      <c r="A873" s="9" t="n"/>
      <c r="B873" s="9" t="n"/>
      <c r="C873" s="2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" customHeight="1">
      <c r="A874" s="9" t="n"/>
      <c r="B874" s="9" t="n"/>
      <c r="C874" s="2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" customHeight="1">
      <c r="A875" s="9" t="n"/>
      <c r="B875" s="9" t="n"/>
      <c r="C875" s="2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" customHeight="1">
      <c r="A876" s="9" t="n"/>
      <c r="B876" s="9" t="n"/>
      <c r="C876" s="2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" customHeight="1">
      <c r="A877" s="9" t="n"/>
      <c r="B877" s="9" t="n"/>
      <c r="C877" s="2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" customHeight="1">
      <c r="A878" s="9" t="n"/>
      <c r="B878" s="9" t="n"/>
      <c r="C878" s="2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" customHeight="1">
      <c r="A879" s="9" t="n"/>
      <c r="B879" s="9" t="n"/>
      <c r="C879" s="2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" customHeight="1">
      <c r="A880" s="9" t="n"/>
      <c r="B880" s="9" t="n"/>
      <c r="C880" s="2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" customHeight="1">
      <c r="A881" s="9" t="n"/>
      <c r="B881" s="9" t="n"/>
      <c r="C881" s="2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" customHeight="1">
      <c r="A882" s="9" t="n"/>
      <c r="B882" s="9" t="n"/>
      <c r="C882" s="2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" customHeight="1">
      <c r="A883" s="9" t="n"/>
      <c r="B883" s="9" t="n"/>
      <c r="C883" s="2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" customHeight="1">
      <c r="A884" s="9" t="n"/>
      <c r="B884" s="9" t="n"/>
      <c r="C884" s="2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" customHeight="1">
      <c r="A885" s="9" t="n"/>
      <c r="B885" s="9" t="n"/>
      <c r="C885" s="2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" customHeight="1">
      <c r="A886" s="9" t="n"/>
      <c r="B886" s="9" t="n"/>
      <c r="C886" s="2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" customHeight="1">
      <c r="A887" s="9" t="n"/>
      <c r="B887" s="9" t="n"/>
      <c r="C887" s="2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" customHeight="1">
      <c r="A888" s="9" t="n"/>
      <c r="B888" s="9" t="n"/>
      <c r="C888" s="2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" customHeight="1">
      <c r="A889" s="9" t="n"/>
      <c r="B889" s="9" t="n"/>
      <c r="C889" s="2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" customHeight="1">
      <c r="A890" s="9" t="n"/>
      <c r="B890" s="9" t="n"/>
      <c r="C890" s="2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" customHeight="1">
      <c r="A891" s="9" t="n"/>
      <c r="B891" s="9" t="n"/>
      <c r="C891" s="2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" customHeight="1">
      <c r="A892" s="9" t="n"/>
      <c r="B892" s="9" t="n"/>
      <c r="C892" s="2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" customHeight="1">
      <c r="A893" s="9" t="n"/>
      <c r="B893" s="9" t="n"/>
      <c r="C893" s="2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" customHeight="1">
      <c r="A894" s="9" t="n"/>
      <c r="B894" s="9" t="n"/>
      <c r="C894" s="2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" customHeight="1">
      <c r="A895" s="9" t="n"/>
      <c r="B895" s="9" t="n"/>
      <c r="C895" s="2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" customHeight="1">
      <c r="A896" s="9" t="n"/>
      <c r="B896" s="9" t="n"/>
      <c r="C896" s="2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" customHeight="1">
      <c r="A897" s="9" t="n"/>
      <c r="B897" s="9" t="n"/>
      <c r="C897" s="2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" customHeight="1">
      <c r="A898" s="9" t="n"/>
      <c r="B898" s="9" t="n"/>
      <c r="C898" s="2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" customHeight="1">
      <c r="A899" s="9" t="n"/>
      <c r="B899" s="9" t="n"/>
      <c r="C899" s="2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" customHeight="1">
      <c r="A900" s="9" t="n"/>
      <c r="B900" s="9" t="n"/>
      <c r="C900" s="2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" customHeight="1">
      <c r="A901" s="9" t="n"/>
      <c r="B901" s="9" t="n"/>
      <c r="C901" s="2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" customHeight="1">
      <c r="A902" s="9" t="n"/>
      <c r="B902" s="9" t="n"/>
      <c r="C902" s="2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" customHeight="1">
      <c r="A903" s="9" t="n"/>
      <c r="B903" s="9" t="n"/>
      <c r="C903" s="2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" customHeight="1">
      <c r="A904" s="9" t="n"/>
      <c r="B904" s="9" t="n"/>
      <c r="C904" s="2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" customHeight="1">
      <c r="A905" s="9" t="n"/>
      <c r="B905" s="9" t="n"/>
      <c r="C905" s="2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" customHeight="1">
      <c r="A906" s="9" t="n"/>
      <c r="B906" s="9" t="n"/>
      <c r="C906" s="2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" customHeight="1">
      <c r="A907" s="9" t="n"/>
      <c r="B907" s="9" t="n"/>
      <c r="C907" s="2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" customHeight="1">
      <c r="A908" s="9" t="n"/>
      <c r="B908" s="9" t="n"/>
      <c r="C908" s="2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" customHeight="1">
      <c r="A909" s="9" t="n"/>
      <c r="B909" s="9" t="n"/>
      <c r="C909" s="2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" customHeight="1">
      <c r="A910" s="9" t="n"/>
      <c r="B910" s="9" t="n"/>
      <c r="C910" s="2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" customHeight="1">
      <c r="A911" s="9" t="n"/>
      <c r="B911" s="9" t="n"/>
      <c r="C911" s="2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" customHeight="1">
      <c r="A912" s="9" t="n"/>
      <c r="B912" s="9" t="n"/>
      <c r="C912" s="2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" customHeight="1">
      <c r="A913" s="9" t="n"/>
      <c r="B913" s="9" t="n"/>
      <c r="C913" s="2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" customHeight="1">
      <c r="A914" s="9" t="n"/>
      <c r="B914" s="9" t="n"/>
      <c r="C914" s="2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" customHeight="1">
      <c r="A915" s="9" t="n"/>
      <c r="B915" s="9" t="n"/>
      <c r="C915" s="2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" customHeight="1">
      <c r="A916" s="9" t="n"/>
      <c r="B916" s="9" t="n"/>
      <c r="C916" s="2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" customHeight="1">
      <c r="A917" s="9" t="n"/>
      <c r="B917" s="9" t="n"/>
      <c r="C917" s="2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" customHeight="1">
      <c r="A918" s="9" t="n"/>
      <c r="B918" s="9" t="n"/>
      <c r="C918" s="2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" customHeight="1">
      <c r="A919" s="9" t="n"/>
      <c r="B919" s="9" t="n"/>
      <c r="C919" s="2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" customHeight="1">
      <c r="A920" s="9" t="n"/>
      <c r="B920" s="9" t="n"/>
      <c r="C920" s="2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" customHeight="1">
      <c r="A921" s="9" t="n"/>
      <c r="B921" s="9" t="n"/>
      <c r="C921" s="2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" customHeight="1">
      <c r="A922" s="9" t="n"/>
      <c r="B922" s="9" t="n"/>
      <c r="C922" s="2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" customHeight="1">
      <c r="A923" s="9" t="n"/>
      <c r="B923" s="9" t="n"/>
      <c r="C923" s="2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" customHeight="1">
      <c r="A924" s="9" t="n"/>
      <c r="B924" s="9" t="n"/>
      <c r="C924" s="2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" customHeight="1">
      <c r="A925" s="9" t="n"/>
      <c r="B925" s="9" t="n"/>
      <c r="C925" s="2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" customHeight="1">
      <c r="A926" s="9" t="n"/>
      <c r="B926" s="9" t="n"/>
      <c r="C926" s="2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" customHeight="1">
      <c r="A927" s="9" t="n"/>
      <c r="B927" s="9" t="n"/>
      <c r="C927" s="2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" customHeight="1">
      <c r="A928" s="9" t="n"/>
      <c r="B928" s="9" t="n"/>
      <c r="C928" s="2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" customHeight="1">
      <c r="A929" s="9" t="n"/>
      <c r="B929" s="9" t="n"/>
      <c r="C929" s="2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" customHeight="1">
      <c r="A930" s="9" t="n"/>
      <c r="B930" s="9" t="n"/>
      <c r="C930" s="2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" customHeight="1">
      <c r="A931" s="9" t="n"/>
      <c r="B931" s="9" t="n"/>
      <c r="C931" s="2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" customHeight="1">
      <c r="A932" s="9" t="n"/>
      <c r="B932" s="9" t="n"/>
      <c r="C932" s="2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" customHeight="1">
      <c r="A933" s="9" t="n"/>
      <c r="B933" s="9" t="n"/>
      <c r="C933" s="2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" customHeight="1">
      <c r="A934" s="9" t="n"/>
      <c r="B934" s="9" t="n"/>
      <c r="C934" s="2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" customHeight="1">
      <c r="A935" s="9" t="n"/>
      <c r="B935" s="9" t="n"/>
      <c r="C935" s="2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" customHeight="1">
      <c r="A936" s="9" t="n"/>
      <c r="B936" s="9" t="n"/>
      <c r="C936" s="2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" customHeight="1">
      <c r="A937" s="9" t="n"/>
      <c r="B937" s="9" t="n"/>
      <c r="C937" s="2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" customHeight="1">
      <c r="A938" s="9" t="n"/>
      <c r="B938" s="9" t="n"/>
      <c r="C938" s="2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" customHeight="1">
      <c r="A939" s="9" t="n"/>
      <c r="B939" s="9" t="n"/>
      <c r="C939" s="2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" customHeight="1">
      <c r="A940" s="9" t="n"/>
      <c r="B940" s="9" t="n"/>
      <c r="C940" s="2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" customHeight="1">
      <c r="A941" s="9" t="n"/>
      <c r="B941" s="9" t="n"/>
      <c r="C941" s="2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" customHeight="1">
      <c r="A942" s="9" t="n"/>
      <c r="B942" s="9" t="n"/>
      <c r="C942" s="2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" customHeight="1">
      <c r="A943" s="9" t="n"/>
      <c r="B943" s="9" t="n"/>
      <c r="C943" s="2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" customHeight="1">
      <c r="A944" s="9" t="n"/>
      <c r="B944" s="9" t="n"/>
      <c r="C944" s="2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" customHeight="1">
      <c r="A945" s="9" t="n"/>
      <c r="B945" s="9" t="n"/>
      <c r="C945" s="2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" customHeight="1">
      <c r="A946" s="9" t="n"/>
      <c r="B946" s="9" t="n"/>
      <c r="C946" s="2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" customHeight="1">
      <c r="A947" s="9" t="n"/>
      <c r="B947" s="9" t="n"/>
      <c r="C947" s="2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" customHeight="1">
      <c r="A948" s="9" t="n"/>
      <c r="B948" s="9" t="n"/>
      <c r="C948" s="2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" customHeight="1">
      <c r="A949" s="9" t="n"/>
      <c r="B949" s="9" t="n"/>
      <c r="C949" s="2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" customHeight="1">
      <c r="A950" s="9" t="n"/>
      <c r="B950" s="9" t="n"/>
      <c r="C950" s="2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" customHeight="1">
      <c r="A951" s="9" t="n"/>
      <c r="B951" s="9" t="n"/>
      <c r="C951" s="2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" customHeight="1">
      <c r="A952" s="9" t="n"/>
      <c r="B952" s="9" t="n"/>
      <c r="C952" s="2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" customHeight="1">
      <c r="A953" s="9" t="n"/>
      <c r="B953" s="9" t="n"/>
      <c r="C953" s="2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" customHeight="1">
      <c r="A954" s="9" t="n"/>
      <c r="B954" s="9" t="n"/>
      <c r="C954" s="2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" customHeight="1">
      <c r="A955" s="9" t="n"/>
      <c r="B955" s="9" t="n"/>
      <c r="C955" s="2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" customHeight="1">
      <c r="A956" s="9" t="n"/>
      <c r="B956" s="9" t="n"/>
      <c r="C956" s="2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" customHeight="1">
      <c r="A957" s="9" t="n"/>
      <c r="B957" s="9" t="n"/>
      <c r="C957" s="2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" customHeight="1">
      <c r="A958" s="9" t="n"/>
      <c r="B958" s="9" t="n"/>
      <c r="C958" s="2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" customHeight="1">
      <c r="A959" s="9" t="n"/>
      <c r="B959" s="9" t="n"/>
      <c r="C959" s="2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" customHeight="1">
      <c r="A960" s="9" t="n"/>
      <c r="B960" s="9" t="n"/>
      <c r="C960" s="2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" customHeight="1">
      <c r="A961" s="9" t="n"/>
      <c r="B961" s="9" t="n"/>
      <c r="C961" s="2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" customHeight="1">
      <c r="A962" s="9" t="n"/>
      <c r="B962" s="9" t="n"/>
      <c r="C962" s="2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" customHeight="1">
      <c r="A963" s="9" t="n"/>
      <c r="B963" s="9" t="n"/>
      <c r="C963" s="2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" customHeight="1">
      <c r="A964" s="9" t="n"/>
      <c r="B964" s="9" t="n"/>
      <c r="C964" s="2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" customHeight="1">
      <c r="A965" s="9" t="n"/>
      <c r="B965" s="9" t="n"/>
      <c r="C965" s="2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" customHeight="1">
      <c r="A966" s="9" t="n"/>
      <c r="B966" s="9" t="n"/>
      <c r="C966" s="2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" customHeight="1">
      <c r="A967" s="9" t="n"/>
      <c r="B967" s="9" t="n"/>
      <c r="C967" s="2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" customHeight="1">
      <c r="A968" s="9" t="n"/>
      <c r="B968" s="9" t="n"/>
      <c r="C968" s="2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" customHeight="1">
      <c r="A969" s="9" t="n"/>
      <c r="B969" s="9" t="n"/>
      <c r="C969" s="2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" customHeight="1">
      <c r="A970" s="9" t="n"/>
      <c r="B970" s="9" t="n"/>
      <c r="C970" s="2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" customHeight="1">
      <c r="A971" s="9" t="n"/>
      <c r="B971" s="9" t="n"/>
      <c r="C971" s="2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" customHeight="1">
      <c r="A972" s="9" t="n"/>
      <c r="B972" s="9" t="n"/>
      <c r="C972" s="2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" customHeight="1">
      <c r="A973" s="9" t="n"/>
      <c r="B973" s="9" t="n"/>
      <c r="C973" s="2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" customHeight="1">
      <c r="A974" s="9" t="n"/>
      <c r="B974" s="9" t="n"/>
      <c r="C974" s="2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" customHeight="1">
      <c r="A975" s="9" t="n"/>
      <c r="B975" s="9" t="n"/>
      <c r="C975" s="2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" customHeight="1">
      <c r="A976" s="9" t="n"/>
      <c r="B976" s="9" t="n"/>
      <c r="C976" s="2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" customHeight="1">
      <c r="A977" s="9" t="n"/>
      <c r="B977" s="9" t="n"/>
      <c r="C977" s="2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" customHeight="1">
      <c r="A978" s="9" t="n"/>
      <c r="B978" s="9" t="n"/>
      <c r="C978" s="2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" customHeight="1">
      <c r="A979" s="9" t="n"/>
      <c r="B979" s="9" t="n"/>
      <c r="C979" s="2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" customHeight="1">
      <c r="A980" s="9" t="n"/>
      <c r="B980" s="9" t="n"/>
      <c r="C980" s="2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" customHeight="1">
      <c r="A981" s="9" t="n"/>
      <c r="B981" s="9" t="n"/>
      <c r="C981" s="2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" customHeight="1">
      <c r="A982" s="9" t="n"/>
      <c r="B982" s="9" t="n"/>
      <c r="C982" s="2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" customHeight="1">
      <c r="A983" s="9" t="n"/>
      <c r="B983" s="9" t="n"/>
      <c r="C983" s="2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" customHeight="1">
      <c r="A984" s="9" t="n"/>
      <c r="B984" s="9" t="n"/>
      <c r="C984" s="2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" customHeight="1">
      <c r="A985" s="9" t="n"/>
      <c r="B985" s="9" t="n"/>
      <c r="C985" s="2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" customHeight="1">
      <c r="A986" s="9" t="n"/>
      <c r="B986" s="9" t="n"/>
      <c r="C986" s="2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" customHeight="1">
      <c r="A987" s="9" t="n"/>
      <c r="B987" s="9" t="n"/>
      <c r="C987" s="2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" customHeight="1">
      <c r="A988" s="9" t="n"/>
      <c r="B988" s="9" t="n"/>
      <c r="C988" s="2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" customHeight="1">
      <c r="A989" s="9" t="n"/>
      <c r="B989" s="9" t="n"/>
      <c r="C989" s="2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" customHeight="1">
      <c r="A990" s="9" t="n"/>
      <c r="B990" s="9" t="n"/>
      <c r="C990" s="2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" customHeight="1">
      <c r="A991" s="9" t="n"/>
      <c r="B991" s="9" t="n"/>
      <c r="C991" s="2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" customHeight="1">
      <c r="A992" s="9" t="n"/>
      <c r="B992" s="9" t="n"/>
      <c r="C992" s="2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" customHeight="1">
      <c r="A993" s="9" t="n"/>
      <c r="B993" s="9" t="n"/>
      <c r="C993" s="2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" customHeight="1">
      <c r="A994" s="9" t="n"/>
      <c r="B994" s="9" t="n"/>
      <c r="C994" s="2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" customHeight="1">
      <c r="A995" s="9" t="n"/>
      <c r="B995" s="9" t="n"/>
      <c r="C995" s="2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" customHeight="1">
      <c r="A996" s="9" t="n"/>
      <c r="B996" s="9" t="n"/>
      <c r="C996" s="2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" customHeight="1">
      <c r="A997" s="9" t="n"/>
      <c r="B997" s="9" t="n"/>
      <c r="C997" s="2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" customHeight="1">
      <c r="A998" s="9" t="n"/>
      <c r="B998" s="9" t="n"/>
      <c r="C998" s="2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" customHeight="1">
      <c r="A999" s="9" t="n"/>
      <c r="B999" s="9" t="n"/>
      <c r="C999" s="2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</sheetData>
  <dataValidations count="2">
    <dataValidation sqref="C7 C9" showDropDown="0" showInputMessage="0" showErrorMessage="1" allowBlank="1" type="list">
      <formula1>"Ones,Thousands,Millions"</formula1>
    </dataValidation>
    <dataValidation sqref="C6 C8" showDropDown="0" showInputMessage="0" showErrorMessage="1" allowBlank="1" type="list">
      <formula1>"$,£,€,AED"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Z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" sqref="B7"/>
    </sheetView>
  </sheetViews>
  <sheetFormatPr baseColWidth="8" defaultColWidth="14.42578125" defaultRowHeight="15" customHeight="1"/>
  <cols>
    <col width="34.42578125" customWidth="1" min="1" max="1"/>
    <col width="11.140625" customWidth="1" min="2" max="3"/>
    <col width="8.7109375" customWidth="1" min="4" max="26"/>
  </cols>
  <sheetData>
    <row r="1" ht="12" customHeight="1">
      <c r="A1" s="18">
        <f>CompanyName</f>
        <v/>
      </c>
      <c r="B1" s="19" t="n"/>
      <c r="C1" s="1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2" customHeight="1">
      <c r="A2" s="20" t="inlineStr">
        <is>
          <t>Income Statement</t>
        </is>
      </c>
      <c r="B2" s="19" t="n"/>
      <c r="C2" s="21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2" customHeight="1">
      <c r="A3" s="9" t="n"/>
      <c r="B3" s="22">
        <f>IF(B$4&lt;=FinancialYearEnd,"Actual","Forecast")</f>
        <v/>
      </c>
      <c r="C3" s="22">
        <f>IF(C$4&lt;=FinancialYearEnd,"Actual","Forecast")</f>
        <v/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2" customHeight="1">
      <c r="A4" s="23">
        <f>'P. Input'!$D$7</f>
        <v/>
      </c>
      <c r="B4" s="24">
        <f>EDATE(FinancialYearEnd,-12*NumPriorAnnualReportsRecorded)</f>
        <v/>
      </c>
      <c r="C4" s="24">
        <f>EDATE(B4,12)</f>
        <v/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2" customHeight="1">
      <c r="A5" s="25" t="inlineStr">
        <is>
          <t>Revenue</t>
        </is>
      </c>
      <c r="B5" s="26" t="n">
        <v>31536</v>
      </c>
      <c r="C5" s="26" t="n">
        <v>53823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2" customHeight="1">
      <c r="A6" s="27" t="inlineStr">
        <is>
          <t>Cost of sales</t>
        </is>
      </c>
      <c r="B6" s="26" t="n">
        <v>24906</v>
      </c>
      <c r="C6" s="26" t="n">
        <v>40217</v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" customHeight="1">
      <c r="A7" s="28" t="inlineStr">
        <is>
          <t>Efficiency Ratio</t>
        </is>
      </c>
      <c r="B7" s="29">
        <f>IFERROR(ABS(B$6)/B$5,"-")</f>
        <v/>
      </c>
      <c r="C7" s="29">
        <f>IFERROR(ABS(C$6)/C$5,"-")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" customHeight="1">
      <c r="A8" s="30" t="inlineStr">
        <is>
          <t>Gross Profit</t>
        </is>
      </c>
      <c r="B8" s="31">
        <f>B5-B6</f>
        <v/>
      </c>
      <c r="C8" s="31">
        <f>C5-C6</f>
        <v/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2" customHeight="1">
      <c r="A9" s="32" t="inlineStr">
        <is>
          <t>Research and development</t>
        </is>
      </c>
      <c r="B9" s="33" t="n">
        <v>1491</v>
      </c>
      <c r="C9" s="33" t="n">
        <v>2593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2" customHeight="1">
      <c r="A10" s="27" t="inlineStr">
        <is>
          <t>Selling, general and administrative</t>
        </is>
      </c>
      <c r="B10" s="26" t="n">
        <v>3145</v>
      </c>
      <c r="C10" s="26" t="n">
        <v>4517</v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2" customHeight="1">
      <c r="A11" s="27" t="inlineStr">
        <is>
          <t>Restructuring and other</t>
        </is>
      </c>
      <c r="B11" s="26" t="n">
        <v>0</v>
      </c>
      <c r="C11" s="26" t="n">
        <v>-27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2" customHeight="1">
      <c r="A12" s="34" t="inlineStr">
        <is>
          <t>Income (loss) from operations</t>
        </is>
      </c>
      <c r="B12" s="31">
        <f>B8-SUM(B9:B11)</f>
        <v/>
      </c>
      <c r="C12" s="31">
        <f>C8-SUM(C9:C11)</f>
        <v/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2" customHeight="1">
      <c r="A13" s="27" t="inlineStr">
        <is>
          <t>Interest income</t>
        </is>
      </c>
      <c r="B13" s="26" t="n">
        <v>30</v>
      </c>
      <c r="C13" s="26" t="n">
        <v>56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2" customHeight="1">
      <c r="A14" s="27" t="inlineStr">
        <is>
          <t>Interest expense</t>
        </is>
      </c>
      <c r="B14" s="26" t="n">
        <v>-748</v>
      </c>
      <c r="C14" s="26" t="n">
        <v>-371</v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2" customHeight="1">
      <c r="A15" s="27" t="inlineStr">
        <is>
          <t>Other income (expense), net</t>
        </is>
      </c>
      <c r="B15" s="26" t="n">
        <v>-122</v>
      </c>
      <c r="C15" s="26" t="n">
        <v>135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2" customHeight="1">
      <c r="A16" s="34" t="inlineStr">
        <is>
          <t>Profit Before Tax (PBT)</t>
        </is>
      </c>
      <c r="B16" s="31">
        <f>B12+SUM(B13:B15)</f>
        <v/>
      </c>
      <c r="C16" s="31">
        <f>C12+SUM(C13:C15)</f>
        <v/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2" customHeight="1">
      <c r="A17" s="2" t="inlineStr">
        <is>
          <t>Tax</t>
        </is>
      </c>
      <c r="B17" s="26" t="n">
        <v>292</v>
      </c>
      <c r="C17" s="26" t="n">
        <v>699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2" customHeight="1">
      <c r="A18" s="34" t="inlineStr">
        <is>
          <t>Profit After Tax (PAT)</t>
        </is>
      </c>
      <c r="B18" s="31">
        <f>B16-B17</f>
        <v/>
      </c>
      <c r="C18" s="31">
        <f>C16-C17</f>
        <v/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2" customHeight="1">
      <c r="A19" s="35" t="inlineStr">
        <is>
          <t>Net income attributable to noncontrolling interests and redeemable noncontrolling interests in subsidiaries</t>
        </is>
      </c>
      <c r="B19" s="26" t="n">
        <v>141</v>
      </c>
      <c r="C19" s="26" t="n">
        <v>125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" customHeight="1">
      <c r="A20" s="36" t="inlineStr">
        <is>
          <t>Total Comprehensive (loss)/ income</t>
        </is>
      </c>
      <c r="B20" s="37">
        <f>B18-B19</f>
        <v/>
      </c>
      <c r="C20" s="37">
        <f>C18-C19</f>
        <v/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2" customHeight="1">
      <c r="A21" s="9" t="n"/>
      <c r="B21" s="38" t="n"/>
      <c r="C21" s="38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" customHeight="1">
      <c r="A22" s="9" t="n"/>
      <c r="B22" s="38" t="n"/>
      <c r="C22" s="38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" customHeight="1">
      <c r="A23" s="39" t="inlineStr">
        <is>
          <t>EBITDA computation</t>
        </is>
      </c>
      <c r="B23" s="40" t="n"/>
      <c r="C23" s="40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2" customHeight="1">
      <c r="A24" s="41" t="inlineStr">
        <is>
          <t>Operating profit</t>
        </is>
      </c>
      <c r="B24" s="42">
        <f>B12</f>
        <v/>
      </c>
      <c r="C24" s="42">
        <f>C12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" customHeight="1">
      <c r="A25" s="43" t="inlineStr">
        <is>
          <t>Depreciation &amp; Amortisation</t>
        </is>
      </c>
      <c r="B25" s="44">
        <f>SUM(B26:B27)</f>
        <v/>
      </c>
      <c r="C25" s="44">
        <f>SUM(C26:C27)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2" customHeight="1">
      <c r="A26" s="27" t="inlineStr">
        <is>
          <t xml:space="preserve">Depreciation </t>
        </is>
      </c>
      <c r="B26" s="26" t="n">
        <v>-500</v>
      </c>
      <c r="C26" s="26" t="n">
        <v>-1000</v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" customHeight="1">
      <c r="A27" s="27" t="inlineStr">
        <is>
          <t>Amortisation</t>
        </is>
      </c>
      <c r="B27" s="26" t="n"/>
      <c r="C27" s="26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" customHeight="1">
      <c r="A28" s="34" t="inlineStr">
        <is>
          <t>EBITDA</t>
        </is>
      </c>
      <c r="B28" s="45">
        <f>B24+B25</f>
        <v/>
      </c>
      <c r="C28" s="45">
        <f>C24+C25</f>
        <v/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2" customHeight="1">
      <c r="A29" s="46" t="inlineStr">
        <is>
          <t>EBITDA Margin</t>
        </is>
      </c>
      <c r="B29" s="47">
        <f>IFERROR(B28/B5,"-")</f>
        <v/>
      </c>
      <c r="C29" s="47">
        <f>IFERROR(C28/C5,"-")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" customHeight="1">
      <c r="A30" s="9" t="n"/>
      <c r="B30" s="19" t="n"/>
      <c r="C30" s="1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" customHeight="1">
      <c r="A31" s="9" t="n"/>
      <c r="B31" s="19" t="n"/>
      <c r="C31" s="1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" customHeight="1">
      <c r="A32" s="9" t="n"/>
      <c r="B32" s="19" t="n"/>
      <c r="C32" s="1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" customHeight="1">
      <c r="A33" s="9" t="n"/>
      <c r="B33" s="19" t="n"/>
      <c r="C33" s="1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" customHeight="1">
      <c r="A34" s="9" t="n"/>
      <c r="B34" s="19" t="n"/>
      <c r="C34" s="1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" customHeight="1">
      <c r="A35" s="9" t="n"/>
      <c r="B35" s="19" t="n"/>
      <c r="C35" s="1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" customHeight="1">
      <c r="A36" s="9" t="n"/>
      <c r="B36" s="19" t="n"/>
      <c r="C36" s="1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" customHeight="1">
      <c r="A37" s="9" t="n"/>
      <c r="B37" s="19" t="n"/>
      <c r="C37" s="1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" customHeight="1">
      <c r="A38" s="9" t="n"/>
      <c r="B38" s="19" t="n"/>
      <c r="C38" s="1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" customHeight="1">
      <c r="A39" s="9" t="n"/>
      <c r="B39" s="19" t="n"/>
      <c r="C39" s="1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" customHeight="1">
      <c r="A40" s="9" t="n"/>
      <c r="B40" s="19" t="n"/>
      <c r="C40" s="1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" customHeight="1">
      <c r="A41" s="9" t="n"/>
      <c r="B41" s="19" t="n"/>
      <c r="C41" s="1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" customHeight="1">
      <c r="A42" s="9" t="n"/>
      <c r="B42" s="19" t="n"/>
      <c r="C42" s="1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" customHeight="1">
      <c r="A43" s="9" t="n"/>
      <c r="B43" s="19" t="n"/>
      <c r="C43" s="1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" customHeight="1">
      <c r="A44" s="9" t="n"/>
      <c r="B44" s="19" t="n"/>
      <c r="C44" s="1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" customHeight="1">
      <c r="A45" s="9" t="n"/>
      <c r="B45" s="19" t="n"/>
      <c r="C45" s="1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" customHeight="1">
      <c r="A46" s="9" t="n"/>
      <c r="B46" s="19" t="n"/>
      <c r="C46" s="1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" customHeight="1">
      <c r="A47" s="9" t="n"/>
      <c r="B47" s="19" t="n"/>
      <c r="C47" s="1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" customHeight="1">
      <c r="A48" s="9" t="n"/>
      <c r="B48" s="19" t="n"/>
      <c r="C48" s="1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" customHeight="1">
      <c r="A49" s="9" t="n"/>
      <c r="B49" s="19" t="n"/>
      <c r="C49" s="1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" customHeight="1">
      <c r="A50" s="9" t="n"/>
      <c r="B50" s="19" t="n"/>
      <c r="C50" s="1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" customHeight="1">
      <c r="A51" s="9" t="n"/>
      <c r="B51" s="19" t="n"/>
      <c r="C51" s="1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" customHeight="1">
      <c r="A52" s="9" t="n"/>
      <c r="B52" s="19" t="n"/>
      <c r="C52" s="1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" customHeight="1">
      <c r="A53" s="9" t="n"/>
      <c r="B53" s="19" t="n"/>
      <c r="C53" s="1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" customHeight="1">
      <c r="A54" s="9" t="n"/>
      <c r="B54" s="19" t="n"/>
      <c r="C54" s="1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" customHeight="1">
      <c r="A55" s="9" t="n"/>
      <c r="B55" s="19" t="n"/>
      <c r="C55" s="1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" customHeight="1">
      <c r="A56" s="9" t="n"/>
      <c r="B56" s="19" t="n"/>
      <c r="C56" s="1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" customHeight="1">
      <c r="A57" s="9" t="n"/>
      <c r="B57" s="19" t="n"/>
      <c r="C57" s="1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" customHeight="1">
      <c r="A58" s="9" t="n"/>
      <c r="B58" s="19" t="n"/>
      <c r="C58" s="1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" customHeight="1">
      <c r="A59" s="9" t="n"/>
      <c r="B59" s="19" t="n"/>
      <c r="C59" s="1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" customHeight="1">
      <c r="A60" s="9" t="n"/>
      <c r="B60" s="19" t="n"/>
      <c r="C60" s="1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" customHeight="1">
      <c r="A61" s="9" t="n"/>
      <c r="B61" s="19" t="n"/>
      <c r="C61" s="1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" customHeight="1">
      <c r="A62" s="9" t="n"/>
      <c r="B62" s="19" t="n"/>
      <c r="C62" s="1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" customHeight="1">
      <c r="A63" s="9" t="n"/>
      <c r="B63" s="19" t="n"/>
      <c r="C63" s="1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" customHeight="1">
      <c r="A64" s="9" t="n"/>
      <c r="B64" s="19" t="n"/>
      <c r="C64" s="1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" customHeight="1">
      <c r="A65" s="9" t="n"/>
      <c r="B65" s="19" t="n"/>
      <c r="C65" s="1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" customHeight="1">
      <c r="A66" s="9" t="n"/>
      <c r="B66" s="19" t="n"/>
      <c r="C66" s="1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" customHeight="1">
      <c r="A67" s="9" t="n"/>
      <c r="B67" s="19" t="n"/>
      <c r="C67" s="1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" customHeight="1">
      <c r="A68" s="9" t="n"/>
      <c r="B68" s="19" t="n"/>
      <c r="C68" s="1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" customHeight="1">
      <c r="A69" s="9" t="n"/>
      <c r="B69" s="19" t="n"/>
      <c r="C69" s="1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" customHeight="1">
      <c r="A70" s="9" t="n"/>
      <c r="B70" s="19" t="n"/>
      <c r="C70" s="1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" customHeight="1">
      <c r="A71" s="9" t="n"/>
      <c r="B71" s="19" t="n"/>
      <c r="C71" s="1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" customHeight="1">
      <c r="A72" s="9" t="n"/>
      <c r="B72" s="19" t="n"/>
      <c r="C72" s="1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" customHeight="1">
      <c r="A73" s="9" t="n"/>
      <c r="B73" s="19" t="n"/>
      <c r="C73" s="1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" customHeight="1">
      <c r="A74" s="9" t="n"/>
      <c r="B74" s="19" t="n"/>
      <c r="C74" s="1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" customHeight="1">
      <c r="A75" s="9" t="n"/>
      <c r="B75" s="19" t="n"/>
      <c r="C75" s="1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" customHeight="1">
      <c r="A76" s="9" t="n"/>
      <c r="B76" s="19" t="n"/>
      <c r="C76" s="1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" customHeight="1">
      <c r="A77" s="9" t="n"/>
      <c r="B77" s="19" t="n"/>
      <c r="C77" s="1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" customHeight="1">
      <c r="A78" s="9" t="n"/>
      <c r="B78" s="19" t="n"/>
      <c r="C78" s="1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" customHeight="1">
      <c r="A79" s="9" t="n"/>
      <c r="B79" s="19" t="n"/>
      <c r="C79" s="1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" customHeight="1">
      <c r="A80" s="9" t="n"/>
      <c r="B80" s="19" t="n"/>
      <c r="C80" s="1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" customHeight="1">
      <c r="A81" s="9" t="n"/>
      <c r="B81" s="19" t="n"/>
      <c r="C81" s="1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" customHeight="1">
      <c r="A82" s="9" t="n"/>
      <c r="B82" s="19" t="n"/>
      <c r="C82" s="1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" customHeight="1">
      <c r="A83" s="9" t="n"/>
      <c r="B83" s="19" t="n"/>
      <c r="C83" s="1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" customHeight="1">
      <c r="A84" s="9" t="n"/>
      <c r="B84" s="19" t="n"/>
      <c r="C84" s="1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" customHeight="1">
      <c r="A85" s="9" t="n"/>
      <c r="B85" s="19" t="n"/>
      <c r="C85" s="1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" customHeight="1">
      <c r="A86" s="9" t="n"/>
      <c r="B86" s="19" t="n"/>
      <c r="C86" s="1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" customHeight="1">
      <c r="A87" s="9" t="n"/>
      <c r="B87" s="19" t="n"/>
      <c r="C87" s="1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" customHeight="1">
      <c r="A88" s="9" t="n"/>
      <c r="B88" s="19" t="n"/>
      <c r="C88" s="1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" customHeight="1">
      <c r="A89" s="9" t="n"/>
      <c r="B89" s="19" t="n"/>
      <c r="C89" s="1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" customHeight="1">
      <c r="A90" s="9" t="n"/>
      <c r="B90" s="19" t="n"/>
      <c r="C90" s="1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" customHeight="1">
      <c r="A91" s="9" t="n"/>
      <c r="B91" s="19" t="n"/>
      <c r="C91" s="1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" customHeight="1">
      <c r="A92" s="9" t="n"/>
      <c r="B92" s="19" t="n"/>
      <c r="C92" s="1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" customHeight="1">
      <c r="A93" s="9" t="n"/>
      <c r="B93" s="19" t="n"/>
      <c r="C93" s="1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" customHeight="1">
      <c r="A94" s="9" t="n"/>
      <c r="B94" s="19" t="n"/>
      <c r="C94" s="1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" customHeight="1">
      <c r="A95" s="9" t="n"/>
      <c r="B95" s="19" t="n"/>
      <c r="C95" s="1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" customHeight="1">
      <c r="A96" s="9" t="n"/>
      <c r="B96" s="19" t="n"/>
      <c r="C96" s="1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" customHeight="1">
      <c r="A97" s="9" t="n"/>
      <c r="B97" s="19" t="n"/>
      <c r="C97" s="1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" customHeight="1">
      <c r="A98" s="9" t="n"/>
      <c r="B98" s="19" t="n"/>
      <c r="C98" s="1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" customHeight="1">
      <c r="A99" s="9" t="n"/>
      <c r="B99" s="19" t="n"/>
      <c r="C99" s="1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" customHeight="1">
      <c r="A100" s="9" t="n"/>
      <c r="B100" s="19" t="n"/>
      <c r="C100" s="1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" customHeight="1">
      <c r="A101" s="9" t="n"/>
      <c r="B101" s="19" t="n"/>
      <c r="C101" s="1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" customHeight="1">
      <c r="A102" s="9" t="n"/>
      <c r="B102" s="19" t="n"/>
      <c r="C102" s="1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" customHeight="1">
      <c r="A103" s="9" t="n"/>
      <c r="B103" s="19" t="n"/>
      <c r="C103" s="1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" customHeight="1">
      <c r="A104" s="9" t="n"/>
      <c r="B104" s="19" t="n"/>
      <c r="C104" s="1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" customHeight="1">
      <c r="A105" s="9" t="n"/>
      <c r="B105" s="19" t="n"/>
      <c r="C105" s="1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" customHeight="1">
      <c r="A106" s="9" t="n"/>
      <c r="B106" s="19" t="n"/>
      <c r="C106" s="1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" customHeight="1">
      <c r="A107" s="9" t="n"/>
      <c r="B107" s="19" t="n"/>
      <c r="C107" s="1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" customHeight="1">
      <c r="A108" s="9" t="n"/>
      <c r="B108" s="19" t="n"/>
      <c r="C108" s="1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" customHeight="1">
      <c r="A109" s="9" t="n"/>
      <c r="B109" s="19" t="n"/>
      <c r="C109" s="1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" customHeight="1">
      <c r="A110" s="9" t="n"/>
      <c r="B110" s="19" t="n"/>
      <c r="C110" s="1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" customHeight="1">
      <c r="A111" s="9" t="n"/>
      <c r="B111" s="19" t="n"/>
      <c r="C111" s="1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" customHeight="1">
      <c r="A112" s="9" t="n"/>
      <c r="B112" s="19" t="n"/>
      <c r="C112" s="1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" customHeight="1">
      <c r="A113" s="9" t="n"/>
      <c r="B113" s="19" t="n"/>
      <c r="C113" s="1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" customHeight="1">
      <c r="A114" s="9" t="n"/>
      <c r="B114" s="19" t="n"/>
      <c r="C114" s="1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" customHeight="1">
      <c r="A115" s="9" t="n"/>
      <c r="B115" s="19" t="n"/>
      <c r="C115" s="1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" customHeight="1">
      <c r="A116" s="9" t="n"/>
      <c r="B116" s="19" t="n"/>
      <c r="C116" s="1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" customHeight="1">
      <c r="A117" s="9" t="n"/>
      <c r="B117" s="19" t="n"/>
      <c r="C117" s="1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" customHeight="1">
      <c r="A118" s="9" t="n"/>
      <c r="B118" s="19" t="n"/>
      <c r="C118" s="1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" customHeight="1">
      <c r="A119" s="9" t="n"/>
      <c r="B119" s="19" t="n"/>
      <c r="C119" s="1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" customHeight="1">
      <c r="A120" s="9" t="n"/>
      <c r="B120" s="19" t="n"/>
      <c r="C120" s="1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" customHeight="1">
      <c r="A121" s="9" t="n"/>
      <c r="B121" s="19" t="n"/>
      <c r="C121" s="1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" customHeight="1">
      <c r="A122" s="9" t="n"/>
      <c r="B122" s="19" t="n"/>
      <c r="C122" s="1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" customHeight="1">
      <c r="A123" s="9" t="n"/>
      <c r="B123" s="19" t="n"/>
      <c r="C123" s="1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" customHeight="1">
      <c r="A124" s="9" t="n"/>
      <c r="B124" s="19" t="n"/>
      <c r="C124" s="1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" customHeight="1">
      <c r="A125" s="9" t="n"/>
      <c r="B125" s="19" t="n"/>
      <c r="C125" s="1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" customHeight="1">
      <c r="A126" s="9" t="n"/>
      <c r="B126" s="19" t="n"/>
      <c r="C126" s="1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" customHeight="1">
      <c r="A127" s="9" t="n"/>
      <c r="B127" s="19" t="n"/>
      <c r="C127" s="1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" customHeight="1">
      <c r="A128" s="9" t="n"/>
      <c r="B128" s="19" t="n"/>
      <c r="C128" s="1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" customHeight="1">
      <c r="A129" s="9" t="n"/>
      <c r="B129" s="19" t="n"/>
      <c r="C129" s="1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" customHeight="1">
      <c r="A130" s="9" t="n"/>
      <c r="B130" s="19" t="n"/>
      <c r="C130" s="1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" customHeight="1">
      <c r="A131" s="9" t="n"/>
      <c r="B131" s="19" t="n"/>
      <c r="C131" s="1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" customHeight="1">
      <c r="A132" s="9" t="n"/>
      <c r="B132" s="19" t="n"/>
      <c r="C132" s="1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" customHeight="1">
      <c r="A133" s="9" t="n"/>
      <c r="B133" s="19" t="n"/>
      <c r="C133" s="1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" customHeight="1">
      <c r="A134" s="9" t="n"/>
      <c r="B134" s="19" t="n"/>
      <c r="C134" s="1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" customHeight="1">
      <c r="A135" s="9" t="n"/>
      <c r="B135" s="19" t="n"/>
      <c r="C135" s="1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" customHeight="1">
      <c r="A136" s="9" t="n"/>
      <c r="B136" s="19" t="n"/>
      <c r="C136" s="1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" customHeight="1">
      <c r="A137" s="9" t="n"/>
      <c r="B137" s="19" t="n"/>
      <c r="C137" s="1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" customHeight="1">
      <c r="A138" s="9" t="n"/>
      <c r="B138" s="19" t="n"/>
      <c r="C138" s="1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" customHeight="1">
      <c r="A139" s="9" t="n"/>
      <c r="B139" s="19" t="n"/>
      <c r="C139" s="1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" customHeight="1">
      <c r="A140" s="9" t="n"/>
      <c r="B140" s="19" t="n"/>
      <c r="C140" s="1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" customHeight="1">
      <c r="A141" s="9" t="n"/>
      <c r="B141" s="19" t="n"/>
      <c r="C141" s="1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" customHeight="1">
      <c r="A142" s="9" t="n"/>
      <c r="B142" s="19" t="n"/>
      <c r="C142" s="1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" customHeight="1">
      <c r="A143" s="9" t="n"/>
      <c r="B143" s="19" t="n"/>
      <c r="C143" s="1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" customHeight="1">
      <c r="A144" s="9" t="n"/>
      <c r="B144" s="19" t="n"/>
      <c r="C144" s="1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" customHeight="1">
      <c r="A145" s="9" t="n"/>
      <c r="B145" s="19" t="n"/>
      <c r="C145" s="1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" customHeight="1">
      <c r="A146" s="9" t="n"/>
      <c r="B146" s="19" t="n"/>
      <c r="C146" s="1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" customHeight="1">
      <c r="A147" s="9" t="n"/>
      <c r="B147" s="19" t="n"/>
      <c r="C147" s="1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" customHeight="1">
      <c r="A148" s="9" t="n"/>
      <c r="B148" s="19" t="n"/>
      <c r="C148" s="1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" customHeight="1">
      <c r="A149" s="9" t="n"/>
      <c r="B149" s="19" t="n"/>
      <c r="C149" s="1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" customHeight="1">
      <c r="A150" s="9" t="n"/>
      <c r="B150" s="19" t="n"/>
      <c r="C150" s="1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" customHeight="1">
      <c r="A151" s="9" t="n"/>
      <c r="B151" s="19" t="n"/>
      <c r="C151" s="1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" customHeight="1">
      <c r="A152" s="9" t="n"/>
      <c r="B152" s="19" t="n"/>
      <c r="C152" s="1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" customHeight="1">
      <c r="A153" s="9" t="n"/>
      <c r="B153" s="19" t="n"/>
      <c r="C153" s="1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" customHeight="1">
      <c r="A154" s="9" t="n"/>
      <c r="B154" s="19" t="n"/>
      <c r="C154" s="1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" customHeight="1">
      <c r="A155" s="9" t="n"/>
      <c r="B155" s="19" t="n"/>
      <c r="C155" s="1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" customHeight="1">
      <c r="A156" s="9" t="n"/>
      <c r="B156" s="19" t="n"/>
      <c r="C156" s="1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" customHeight="1">
      <c r="A157" s="9" t="n"/>
      <c r="B157" s="19" t="n"/>
      <c r="C157" s="1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" customHeight="1">
      <c r="A158" s="9" t="n"/>
      <c r="B158" s="19" t="n"/>
      <c r="C158" s="1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" customHeight="1">
      <c r="A159" s="9" t="n"/>
      <c r="B159" s="19" t="n"/>
      <c r="C159" s="1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" customHeight="1">
      <c r="A160" s="9" t="n"/>
      <c r="B160" s="19" t="n"/>
      <c r="C160" s="1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" customHeight="1">
      <c r="A161" s="9" t="n"/>
      <c r="B161" s="19" t="n"/>
      <c r="C161" s="1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" customHeight="1">
      <c r="A162" s="9" t="n"/>
      <c r="B162" s="19" t="n"/>
      <c r="C162" s="1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" customHeight="1">
      <c r="A163" s="9" t="n"/>
      <c r="B163" s="19" t="n"/>
      <c r="C163" s="1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" customHeight="1">
      <c r="A164" s="9" t="n"/>
      <c r="B164" s="19" t="n"/>
      <c r="C164" s="1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" customHeight="1">
      <c r="A165" s="9" t="n"/>
      <c r="B165" s="19" t="n"/>
      <c r="C165" s="1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" customHeight="1">
      <c r="A166" s="9" t="n"/>
      <c r="B166" s="19" t="n"/>
      <c r="C166" s="1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" customHeight="1">
      <c r="A167" s="9" t="n"/>
      <c r="B167" s="19" t="n"/>
      <c r="C167" s="1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" customHeight="1">
      <c r="A168" s="9" t="n"/>
      <c r="B168" s="19" t="n"/>
      <c r="C168" s="1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" customHeight="1">
      <c r="A169" s="9" t="n"/>
      <c r="B169" s="19" t="n"/>
      <c r="C169" s="1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" customHeight="1">
      <c r="A170" s="9" t="n"/>
      <c r="B170" s="19" t="n"/>
      <c r="C170" s="1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" customHeight="1">
      <c r="A171" s="9" t="n"/>
      <c r="B171" s="19" t="n"/>
      <c r="C171" s="1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" customHeight="1">
      <c r="A172" s="9" t="n"/>
      <c r="B172" s="19" t="n"/>
      <c r="C172" s="1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" customHeight="1">
      <c r="A173" s="9" t="n"/>
      <c r="B173" s="19" t="n"/>
      <c r="C173" s="1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" customHeight="1">
      <c r="A174" s="9" t="n"/>
      <c r="B174" s="19" t="n"/>
      <c r="C174" s="1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" customHeight="1">
      <c r="A175" s="9" t="n"/>
      <c r="B175" s="19" t="n"/>
      <c r="C175" s="1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" customHeight="1">
      <c r="A176" s="9" t="n"/>
      <c r="B176" s="19" t="n"/>
      <c r="C176" s="1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" customHeight="1">
      <c r="A177" s="9" t="n"/>
      <c r="B177" s="19" t="n"/>
      <c r="C177" s="1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" customHeight="1">
      <c r="A178" s="9" t="n"/>
      <c r="B178" s="19" t="n"/>
      <c r="C178" s="1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" customHeight="1">
      <c r="A179" s="9" t="n"/>
      <c r="B179" s="19" t="n"/>
      <c r="C179" s="1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" customHeight="1">
      <c r="A180" s="9" t="n"/>
      <c r="B180" s="19" t="n"/>
      <c r="C180" s="1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" customHeight="1">
      <c r="A181" s="9" t="n"/>
      <c r="B181" s="19" t="n"/>
      <c r="C181" s="1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" customHeight="1">
      <c r="A182" s="9" t="n"/>
      <c r="B182" s="19" t="n"/>
      <c r="C182" s="1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" customHeight="1">
      <c r="A183" s="9" t="n"/>
      <c r="B183" s="19" t="n"/>
      <c r="C183" s="1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" customHeight="1">
      <c r="A184" s="9" t="n"/>
      <c r="B184" s="19" t="n"/>
      <c r="C184" s="1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" customHeight="1">
      <c r="A185" s="9" t="n"/>
      <c r="B185" s="19" t="n"/>
      <c r="C185" s="1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" customHeight="1">
      <c r="A186" s="9" t="n"/>
      <c r="B186" s="19" t="n"/>
      <c r="C186" s="1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" customHeight="1">
      <c r="A187" s="9" t="n"/>
      <c r="B187" s="19" t="n"/>
      <c r="C187" s="1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" customHeight="1">
      <c r="A188" s="9" t="n"/>
      <c r="B188" s="19" t="n"/>
      <c r="C188" s="1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" customHeight="1">
      <c r="A189" s="9" t="n"/>
      <c r="B189" s="19" t="n"/>
      <c r="C189" s="1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" customHeight="1">
      <c r="A190" s="9" t="n"/>
      <c r="B190" s="19" t="n"/>
      <c r="C190" s="1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" customHeight="1">
      <c r="A191" s="9" t="n"/>
      <c r="B191" s="19" t="n"/>
      <c r="C191" s="1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" customHeight="1">
      <c r="A192" s="9" t="n"/>
      <c r="B192" s="19" t="n"/>
      <c r="C192" s="1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" customHeight="1">
      <c r="A193" s="9" t="n"/>
      <c r="B193" s="19" t="n"/>
      <c r="C193" s="1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" customHeight="1">
      <c r="A194" s="9" t="n"/>
      <c r="B194" s="19" t="n"/>
      <c r="C194" s="1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" customHeight="1">
      <c r="A195" s="9" t="n"/>
      <c r="B195" s="19" t="n"/>
      <c r="C195" s="1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" customHeight="1">
      <c r="A196" s="9" t="n"/>
      <c r="B196" s="19" t="n"/>
      <c r="C196" s="1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" customHeight="1">
      <c r="A197" s="9" t="n"/>
      <c r="B197" s="19" t="n"/>
      <c r="C197" s="1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" customHeight="1">
      <c r="A198" s="9" t="n"/>
      <c r="B198" s="19" t="n"/>
      <c r="C198" s="1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" customHeight="1">
      <c r="A199" s="9" t="n"/>
      <c r="B199" s="19" t="n"/>
      <c r="C199" s="1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" customHeight="1">
      <c r="A200" s="9" t="n"/>
      <c r="B200" s="19" t="n"/>
      <c r="C200" s="1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" customHeight="1">
      <c r="A201" s="9" t="n"/>
      <c r="B201" s="19" t="n"/>
      <c r="C201" s="1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" customHeight="1">
      <c r="A202" s="9" t="n"/>
      <c r="B202" s="19" t="n"/>
      <c r="C202" s="1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" customHeight="1">
      <c r="A203" s="9" t="n"/>
      <c r="B203" s="19" t="n"/>
      <c r="C203" s="1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" customHeight="1">
      <c r="A204" s="9" t="n"/>
      <c r="B204" s="19" t="n"/>
      <c r="C204" s="1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" customHeight="1">
      <c r="A205" s="9" t="n"/>
      <c r="B205" s="19" t="n"/>
      <c r="C205" s="1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" customHeight="1">
      <c r="A206" s="9" t="n"/>
      <c r="B206" s="19" t="n"/>
      <c r="C206" s="1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" customHeight="1">
      <c r="A207" s="9" t="n"/>
      <c r="B207" s="19" t="n"/>
      <c r="C207" s="1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" customHeight="1">
      <c r="A208" s="9" t="n"/>
      <c r="B208" s="19" t="n"/>
      <c r="C208" s="1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" customHeight="1">
      <c r="A209" s="9" t="n"/>
      <c r="B209" s="19" t="n"/>
      <c r="C209" s="1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" customHeight="1">
      <c r="A210" s="9" t="n"/>
      <c r="B210" s="19" t="n"/>
      <c r="C210" s="1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" customHeight="1">
      <c r="A211" s="9" t="n"/>
      <c r="B211" s="19" t="n"/>
      <c r="C211" s="1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" customHeight="1">
      <c r="A212" s="9" t="n"/>
      <c r="B212" s="19" t="n"/>
      <c r="C212" s="1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" customHeight="1">
      <c r="A213" s="9" t="n"/>
      <c r="B213" s="19" t="n"/>
      <c r="C213" s="1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" customHeight="1">
      <c r="A214" s="9" t="n"/>
      <c r="B214" s="19" t="n"/>
      <c r="C214" s="1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" customHeight="1">
      <c r="A215" s="9" t="n"/>
      <c r="B215" s="19" t="n"/>
      <c r="C215" s="1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" customHeight="1">
      <c r="A216" s="9" t="n"/>
      <c r="B216" s="19" t="n"/>
      <c r="C216" s="1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" customHeight="1">
      <c r="A217" s="9" t="n"/>
      <c r="B217" s="19" t="n"/>
      <c r="C217" s="1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" customHeight="1">
      <c r="A218" s="9" t="n"/>
      <c r="B218" s="19" t="n"/>
      <c r="C218" s="1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" customHeight="1">
      <c r="A219" s="9" t="n"/>
      <c r="B219" s="19" t="n"/>
      <c r="C219" s="1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" customHeight="1">
      <c r="A220" s="9" t="n"/>
      <c r="B220" s="19" t="n"/>
      <c r="C220" s="1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" customHeight="1">
      <c r="A221" s="9" t="n"/>
      <c r="B221" s="19" t="n"/>
      <c r="C221" s="1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" customHeight="1">
      <c r="A222" s="9" t="n"/>
      <c r="B222" s="19" t="n"/>
      <c r="C222" s="1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" customHeight="1">
      <c r="A223" s="9" t="n"/>
      <c r="B223" s="19" t="n"/>
      <c r="C223" s="1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" customHeight="1">
      <c r="A224" s="9" t="n"/>
      <c r="B224" s="19" t="n"/>
      <c r="C224" s="1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" customHeight="1">
      <c r="A225" s="9" t="n"/>
      <c r="B225" s="19" t="n"/>
      <c r="C225" s="1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" customHeight="1">
      <c r="A226" s="9" t="n"/>
      <c r="B226" s="19" t="n"/>
      <c r="C226" s="1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" customHeight="1">
      <c r="A227" s="9" t="n"/>
      <c r="B227" s="19" t="n"/>
      <c r="C227" s="1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" customHeight="1">
      <c r="A228" s="9" t="n"/>
      <c r="B228" s="19" t="n"/>
      <c r="C228" s="1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" customHeight="1">
      <c r="A229" s="9" t="n"/>
      <c r="B229" s="19" t="n"/>
      <c r="C229" s="1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" customHeight="1">
      <c r="A230" s="9" t="n"/>
      <c r="B230" s="19" t="n"/>
      <c r="C230" s="1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" customHeight="1">
      <c r="A231" s="9" t="n"/>
      <c r="B231" s="19" t="n"/>
      <c r="C231" s="1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" customHeight="1">
      <c r="A232" s="9" t="n"/>
      <c r="B232" s="19" t="n"/>
      <c r="C232" s="1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" customHeight="1">
      <c r="A233" s="9" t="n"/>
      <c r="B233" s="19" t="n"/>
      <c r="C233" s="1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" customHeight="1">
      <c r="A234" s="9" t="n"/>
      <c r="B234" s="19" t="n"/>
      <c r="C234" s="1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" customHeight="1">
      <c r="A235" s="9" t="n"/>
      <c r="B235" s="19" t="n"/>
      <c r="C235" s="1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" customHeight="1">
      <c r="A236" s="9" t="n"/>
      <c r="B236" s="19" t="n"/>
      <c r="C236" s="1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" customHeight="1">
      <c r="A237" s="9" t="n"/>
      <c r="B237" s="19" t="n"/>
      <c r="C237" s="1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" customHeight="1">
      <c r="A238" s="9" t="n"/>
      <c r="B238" s="19" t="n"/>
      <c r="C238" s="1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" customHeight="1">
      <c r="A239" s="9" t="n"/>
      <c r="B239" s="19" t="n"/>
      <c r="C239" s="1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" customHeight="1">
      <c r="A240" s="9" t="n"/>
      <c r="B240" s="19" t="n"/>
      <c r="C240" s="1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" customHeight="1">
      <c r="A241" s="9" t="n"/>
      <c r="B241" s="19" t="n"/>
      <c r="C241" s="1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" customHeight="1">
      <c r="A242" s="9" t="n"/>
      <c r="B242" s="19" t="n"/>
      <c r="C242" s="1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" customHeight="1">
      <c r="A243" s="9" t="n"/>
      <c r="B243" s="19" t="n"/>
      <c r="C243" s="1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" customHeight="1">
      <c r="A244" s="9" t="n"/>
      <c r="B244" s="19" t="n"/>
      <c r="C244" s="1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" customHeight="1">
      <c r="A245" s="9" t="n"/>
      <c r="B245" s="19" t="n"/>
      <c r="C245" s="1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" customHeight="1">
      <c r="A246" s="9" t="n"/>
      <c r="B246" s="19" t="n"/>
      <c r="C246" s="1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" customHeight="1">
      <c r="A247" s="9" t="n"/>
      <c r="B247" s="19" t="n"/>
      <c r="C247" s="1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" customHeight="1">
      <c r="A248" s="9" t="n"/>
      <c r="B248" s="19" t="n"/>
      <c r="C248" s="1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" customHeight="1">
      <c r="A249" s="9" t="n"/>
      <c r="B249" s="19" t="n"/>
      <c r="C249" s="1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" customHeight="1">
      <c r="A250" s="9" t="n"/>
      <c r="B250" s="19" t="n"/>
      <c r="C250" s="1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" customHeight="1">
      <c r="A251" s="9" t="n"/>
      <c r="B251" s="19" t="n"/>
      <c r="C251" s="1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" customHeight="1">
      <c r="A252" s="9" t="n"/>
      <c r="B252" s="19" t="n"/>
      <c r="C252" s="1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" customHeight="1">
      <c r="A253" s="9" t="n"/>
      <c r="B253" s="19" t="n"/>
      <c r="C253" s="1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" customHeight="1">
      <c r="A254" s="9" t="n"/>
      <c r="B254" s="19" t="n"/>
      <c r="C254" s="1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" customHeight="1">
      <c r="A255" s="9" t="n"/>
      <c r="B255" s="19" t="n"/>
      <c r="C255" s="1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" customHeight="1">
      <c r="A256" s="9" t="n"/>
      <c r="B256" s="19" t="n"/>
      <c r="C256" s="1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" customHeight="1">
      <c r="A257" s="9" t="n"/>
      <c r="B257" s="19" t="n"/>
      <c r="C257" s="1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" customHeight="1">
      <c r="A258" s="9" t="n"/>
      <c r="B258" s="19" t="n"/>
      <c r="C258" s="1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" customHeight="1">
      <c r="A259" s="9" t="n"/>
      <c r="B259" s="19" t="n"/>
      <c r="C259" s="1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" customHeight="1">
      <c r="A260" s="9" t="n"/>
      <c r="B260" s="19" t="n"/>
      <c r="C260" s="1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" customHeight="1">
      <c r="A261" s="9" t="n"/>
      <c r="B261" s="19" t="n"/>
      <c r="C261" s="1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" customHeight="1">
      <c r="A262" s="9" t="n"/>
      <c r="B262" s="19" t="n"/>
      <c r="C262" s="1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" customHeight="1">
      <c r="A263" s="9" t="n"/>
      <c r="B263" s="19" t="n"/>
      <c r="C263" s="1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" customHeight="1">
      <c r="A264" s="9" t="n"/>
      <c r="B264" s="19" t="n"/>
      <c r="C264" s="1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" customHeight="1">
      <c r="A265" s="9" t="n"/>
      <c r="B265" s="19" t="n"/>
      <c r="C265" s="1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" customHeight="1">
      <c r="A266" s="9" t="n"/>
      <c r="B266" s="19" t="n"/>
      <c r="C266" s="1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" customHeight="1">
      <c r="A267" s="9" t="n"/>
      <c r="B267" s="19" t="n"/>
      <c r="C267" s="1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" customHeight="1">
      <c r="A268" s="9" t="n"/>
      <c r="B268" s="19" t="n"/>
      <c r="C268" s="1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" customHeight="1">
      <c r="A269" s="9" t="n"/>
      <c r="B269" s="19" t="n"/>
      <c r="C269" s="1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" customHeight="1">
      <c r="A270" s="9" t="n"/>
      <c r="B270" s="19" t="n"/>
      <c r="C270" s="1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" customHeight="1">
      <c r="A271" s="9" t="n"/>
      <c r="B271" s="19" t="n"/>
      <c r="C271" s="1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" customHeight="1">
      <c r="A272" s="9" t="n"/>
      <c r="B272" s="19" t="n"/>
      <c r="C272" s="1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" customHeight="1">
      <c r="A273" s="9" t="n"/>
      <c r="B273" s="19" t="n"/>
      <c r="C273" s="1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" customHeight="1">
      <c r="A274" s="9" t="n"/>
      <c r="B274" s="19" t="n"/>
      <c r="C274" s="1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" customHeight="1">
      <c r="A275" s="9" t="n"/>
      <c r="B275" s="19" t="n"/>
      <c r="C275" s="1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" customHeight="1">
      <c r="A276" s="9" t="n"/>
      <c r="B276" s="19" t="n"/>
      <c r="C276" s="1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" customHeight="1">
      <c r="A277" s="9" t="n"/>
      <c r="B277" s="19" t="n"/>
      <c r="C277" s="1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" customHeight="1">
      <c r="A278" s="9" t="n"/>
      <c r="B278" s="19" t="n"/>
      <c r="C278" s="1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" customHeight="1">
      <c r="A279" s="9" t="n"/>
      <c r="B279" s="19" t="n"/>
      <c r="C279" s="1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" customHeight="1">
      <c r="A280" s="9" t="n"/>
      <c r="B280" s="19" t="n"/>
      <c r="C280" s="1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" customHeight="1">
      <c r="A281" s="9" t="n"/>
      <c r="B281" s="19" t="n"/>
      <c r="C281" s="1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" customHeight="1">
      <c r="A282" s="9" t="n"/>
      <c r="B282" s="19" t="n"/>
      <c r="C282" s="1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" customHeight="1">
      <c r="A283" s="9" t="n"/>
      <c r="B283" s="19" t="n"/>
      <c r="C283" s="1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" customHeight="1">
      <c r="A284" s="9" t="n"/>
      <c r="B284" s="19" t="n"/>
      <c r="C284" s="1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" customHeight="1">
      <c r="A285" s="9" t="n"/>
      <c r="B285" s="19" t="n"/>
      <c r="C285" s="1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" customHeight="1">
      <c r="A286" s="9" t="n"/>
      <c r="B286" s="19" t="n"/>
      <c r="C286" s="1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" customHeight="1">
      <c r="A287" s="9" t="n"/>
      <c r="B287" s="19" t="n"/>
      <c r="C287" s="1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" customHeight="1">
      <c r="A288" s="9" t="n"/>
      <c r="B288" s="19" t="n"/>
      <c r="C288" s="1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" customHeight="1">
      <c r="A289" s="9" t="n"/>
      <c r="B289" s="19" t="n"/>
      <c r="C289" s="1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" customHeight="1">
      <c r="A290" s="9" t="n"/>
      <c r="B290" s="19" t="n"/>
      <c r="C290" s="1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" customHeight="1">
      <c r="A291" s="9" t="n"/>
      <c r="B291" s="19" t="n"/>
      <c r="C291" s="1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" customHeight="1">
      <c r="A292" s="9" t="n"/>
      <c r="B292" s="19" t="n"/>
      <c r="C292" s="1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" customHeight="1">
      <c r="A293" s="9" t="n"/>
      <c r="B293" s="19" t="n"/>
      <c r="C293" s="1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" customHeight="1">
      <c r="A294" s="9" t="n"/>
      <c r="B294" s="19" t="n"/>
      <c r="C294" s="1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" customHeight="1">
      <c r="A295" s="9" t="n"/>
      <c r="B295" s="19" t="n"/>
      <c r="C295" s="1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" customHeight="1">
      <c r="A296" s="9" t="n"/>
      <c r="B296" s="19" t="n"/>
      <c r="C296" s="1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" customHeight="1">
      <c r="A297" s="9" t="n"/>
      <c r="B297" s="19" t="n"/>
      <c r="C297" s="1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" customHeight="1">
      <c r="A298" s="9" t="n"/>
      <c r="B298" s="19" t="n"/>
      <c r="C298" s="1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" customHeight="1">
      <c r="A299" s="9" t="n"/>
      <c r="B299" s="19" t="n"/>
      <c r="C299" s="1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" customHeight="1">
      <c r="A300" s="9" t="n"/>
      <c r="B300" s="19" t="n"/>
      <c r="C300" s="1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" customHeight="1">
      <c r="A301" s="9" t="n"/>
      <c r="B301" s="19" t="n"/>
      <c r="C301" s="1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" customHeight="1">
      <c r="A302" s="9" t="n"/>
      <c r="B302" s="19" t="n"/>
      <c r="C302" s="1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" customHeight="1">
      <c r="A303" s="9" t="n"/>
      <c r="B303" s="19" t="n"/>
      <c r="C303" s="1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" customHeight="1">
      <c r="A304" s="9" t="n"/>
      <c r="B304" s="19" t="n"/>
      <c r="C304" s="1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" customHeight="1">
      <c r="A305" s="9" t="n"/>
      <c r="B305" s="19" t="n"/>
      <c r="C305" s="1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" customHeight="1">
      <c r="A306" s="9" t="n"/>
      <c r="B306" s="19" t="n"/>
      <c r="C306" s="1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" customHeight="1">
      <c r="A307" s="9" t="n"/>
      <c r="B307" s="19" t="n"/>
      <c r="C307" s="1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" customHeight="1">
      <c r="A308" s="9" t="n"/>
      <c r="B308" s="19" t="n"/>
      <c r="C308" s="1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" customHeight="1">
      <c r="A309" s="9" t="n"/>
      <c r="B309" s="19" t="n"/>
      <c r="C309" s="1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" customHeight="1">
      <c r="A310" s="9" t="n"/>
      <c r="B310" s="19" t="n"/>
      <c r="C310" s="1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" customHeight="1">
      <c r="A311" s="9" t="n"/>
      <c r="B311" s="19" t="n"/>
      <c r="C311" s="1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" customHeight="1">
      <c r="A312" s="9" t="n"/>
      <c r="B312" s="19" t="n"/>
      <c r="C312" s="1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" customHeight="1">
      <c r="A313" s="9" t="n"/>
      <c r="B313" s="19" t="n"/>
      <c r="C313" s="1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" customHeight="1">
      <c r="A314" s="9" t="n"/>
      <c r="B314" s="19" t="n"/>
      <c r="C314" s="1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" customHeight="1">
      <c r="A315" s="9" t="n"/>
      <c r="B315" s="19" t="n"/>
      <c r="C315" s="1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" customHeight="1">
      <c r="A316" s="9" t="n"/>
      <c r="B316" s="19" t="n"/>
      <c r="C316" s="1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" customHeight="1">
      <c r="A317" s="9" t="n"/>
      <c r="B317" s="19" t="n"/>
      <c r="C317" s="1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" customHeight="1">
      <c r="A318" s="9" t="n"/>
      <c r="B318" s="19" t="n"/>
      <c r="C318" s="1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" customHeight="1">
      <c r="A319" s="9" t="n"/>
      <c r="B319" s="19" t="n"/>
      <c r="C319" s="1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" customHeight="1">
      <c r="A320" s="9" t="n"/>
      <c r="B320" s="19" t="n"/>
      <c r="C320" s="1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" customHeight="1">
      <c r="A321" s="9" t="n"/>
      <c r="B321" s="19" t="n"/>
      <c r="C321" s="1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" customHeight="1">
      <c r="A322" s="9" t="n"/>
      <c r="B322" s="19" t="n"/>
      <c r="C322" s="1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" customHeight="1">
      <c r="A323" s="9" t="n"/>
      <c r="B323" s="19" t="n"/>
      <c r="C323" s="1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" customHeight="1">
      <c r="A324" s="9" t="n"/>
      <c r="B324" s="19" t="n"/>
      <c r="C324" s="1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" customHeight="1">
      <c r="A325" s="9" t="n"/>
      <c r="B325" s="19" t="n"/>
      <c r="C325" s="1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" customHeight="1">
      <c r="A326" s="9" t="n"/>
      <c r="B326" s="19" t="n"/>
      <c r="C326" s="1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" customHeight="1">
      <c r="A327" s="9" t="n"/>
      <c r="B327" s="19" t="n"/>
      <c r="C327" s="1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" customHeight="1">
      <c r="A328" s="9" t="n"/>
      <c r="B328" s="19" t="n"/>
      <c r="C328" s="1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" customHeight="1">
      <c r="A329" s="9" t="n"/>
      <c r="B329" s="19" t="n"/>
      <c r="C329" s="1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" customHeight="1">
      <c r="A330" s="9" t="n"/>
      <c r="B330" s="19" t="n"/>
      <c r="C330" s="1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" customHeight="1">
      <c r="A331" s="9" t="n"/>
      <c r="B331" s="19" t="n"/>
      <c r="C331" s="1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" customHeight="1">
      <c r="A332" s="9" t="n"/>
      <c r="B332" s="19" t="n"/>
      <c r="C332" s="1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" customHeight="1">
      <c r="A333" s="9" t="n"/>
      <c r="B333" s="19" t="n"/>
      <c r="C333" s="1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" customHeight="1">
      <c r="A334" s="9" t="n"/>
      <c r="B334" s="19" t="n"/>
      <c r="C334" s="1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" customHeight="1">
      <c r="A335" s="9" t="n"/>
      <c r="B335" s="19" t="n"/>
      <c r="C335" s="1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" customHeight="1">
      <c r="A336" s="9" t="n"/>
      <c r="B336" s="19" t="n"/>
      <c r="C336" s="1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" customHeight="1">
      <c r="A337" s="9" t="n"/>
      <c r="B337" s="19" t="n"/>
      <c r="C337" s="1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" customHeight="1">
      <c r="A338" s="9" t="n"/>
      <c r="B338" s="19" t="n"/>
      <c r="C338" s="1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" customHeight="1">
      <c r="A339" s="9" t="n"/>
      <c r="B339" s="19" t="n"/>
      <c r="C339" s="1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" customHeight="1">
      <c r="A340" s="9" t="n"/>
      <c r="B340" s="19" t="n"/>
      <c r="C340" s="1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" customHeight="1">
      <c r="A341" s="9" t="n"/>
      <c r="B341" s="19" t="n"/>
      <c r="C341" s="1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" customHeight="1">
      <c r="A342" s="9" t="n"/>
      <c r="B342" s="19" t="n"/>
      <c r="C342" s="1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" customHeight="1">
      <c r="A343" s="9" t="n"/>
      <c r="B343" s="19" t="n"/>
      <c r="C343" s="1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" customHeight="1">
      <c r="A344" s="9" t="n"/>
      <c r="B344" s="19" t="n"/>
      <c r="C344" s="1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" customHeight="1">
      <c r="A345" s="9" t="n"/>
      <c r="B345" s="19" t="n"/>
      <c r="C345" s="1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" customHeight="1">
      <c r="A346" s="9" t="n"/>
      <c r="B346" s="19" t="n"/>
      <c r="C346" s="1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" customHeight="1">
      <c r="A347" s="9" t="n"/>
      <c r="B347" s="19" t="n"/>
      <c r="C347" s="1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" customHeight="1">
      <c r="A348" s="9" t="n"/>
      <c r="B348" s="19" t="n"/>
      <c r="C348" s="1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" customHeight="1">
      <c r="A349" s="9" t="n"/>
      <c r="B349" s="19" t="n"/>
      <c r="C349" s="1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" customHeight="1">
      <c r="A350" s="9" t="n"/>
      <c r="B350" s="19" t="n"/>
      <c r="C350" s="1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" customHeight="1">
      <c r="A351" s="9" t="n"/>
      <c r="B351" s="19" t="n"/>
      <c r="C351" s="1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" customHeight="1">
      <c r="A352" s="9" t="n"/>
      <c r="B352" s="19" t="n"/>
      <c r="C352" s="1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" customHeight="1">
      <c r="A353" s="9" t="n"/>
      <c r="B353" s="19" t="n"/>
      <c r="C353" s="1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" customHeight="1">
      <c r="A354" s="9" t="n"/>
      <c r="B354" s="19" t="n"/>
      <c r="C354" s="1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" customHeight="1">
      <c r="A355" s="9" t="n"/>
      <c r="B355" s="19" t="n"/>
      <c r="C355" s="1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" customHeight="1">
      <c r="A356" s="9" t="n"/>
      <c r="B356" s="19" t="n"/>
      <c r="C356" s="1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" customHeight="1">
      <c r="A357" s="9" t="n"/>
      <c r="B357" s="19" t="n"/>
      <c r="C357" s="1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" customHeight="1">
      <c r="A358" s="9" t="n"/>
      <c r="B358" s="19" t="n"/>
      <c r="C358" s="1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" customHeight="1">
      <c r="A359" s="9" t="n"/>
      <c r="B359" s="19" t="n"/>
      <c r="C359" s="1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" customHeight="1">
      <c r="A360" s="9" t="n"/>
      <c r="B360" s="19" t="n"/>
      <c r="C360" s="1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" customHeight="1">
      <c r="A361" s="9" t="n"/>
      <c r="B361" s="19" t="n"/>
      <c r="C361" s="1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" customHeight="1">
      <c r="A362" s="9" t="n"/>
      <c r="B362" s="19" t="n"/>
      <c r="C362" s="1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" customHeight="1">
      <c r="A363" s="9" t="n"/>
      <c r="B363" s="19" t="n"/>
      <c r="C363" s="1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" customHeight="1">
      <c r="A364" s="9" t="n"/>
      <c r="B364" s="19" t="n"/>
      <c r="C364" s="1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" customHeight="1">
      <c r="A365" s="9" t="n"/>
      <c r="B365" s="19" t="n"/>
      <c r="C365" s="1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" customHeight="1">
      <c r="A366" s="9" t="n"/>
      <c r="B366" s="19" t="n"/>
      <c r="C366" s="1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" customHeight="1">
      <c r="A367" s="9" t="n"/>
      <c r="B367" s="19" t="n"/>
      <c r="C367" s="1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" customHeight="1">
      <c r="A368" s="9" t="n"/>
      <c r="B368" s="19" t="n"/>
      <c r="C368" s="1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" customHeight="1">
      <c r="A369" s="9" t="n"/>
      <c r="B369" s="19" t="n"/>
      <c r="C369" s="1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" customHeight="1">
      <c r="A370" s="9" t="n"/>
      <c r="B370" s="19" t="n"/>
      <c r="C370" s="1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" customHeight="1">
      <c r="A371" s="9" t="n"/>
      <c r="B371" s="19" t="n"/>
      <c r="C371" s="1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" customHeight="1">
      <c r="A372" s="9" t="n"/>
      <c r="B372" s="19" t="n"/>
      <c r="C372" s="1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" customHeight="1">
      <c r="A373" s="9" t="n"/>
      <c r="B373" s="19" t="n"/>
      <c r="C373" s="1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" customHeight="1">
      <c r="A374" s="9" t="n"/>
      <c r="B374" s="19" t="n"/>
      <c r="C374" s="1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" customHeight="1">
      <c r="A375" s="9" t="n"/>
      <c r="B375" s="19" t="n"/>
      <c r="C375" s="1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" customHeight="1">
      <c r="A376" s="9" t="n"/>
      <c r="B376" s="19" t="n"/>
      <c r="C376" s="1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" customHeight="1">
      <c r="A377" s="9" t="n"/>
      <c r="B377" s="19" t="n"/>
      <c r="C377" s="1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" customHeight="1">
      <c r="A378" s="9" t="n"/>
      <c r="B378" s="19" t="n"/>
      <c r="C378" s="1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" customHeight="1">
      <c r="A379" s="9" t="n"/>
      <c r="B379" s="19" t="n"/>
      <c r="C379" s="1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" customHeight="1">
      <c r="A380" s="9" t="n"/>
      <c r="B380" s="19" t="n"/>
      <c r="C380" s="1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" customHeight="1">
      <c r="A381" s="9" t="n"/>
      <c r="B381" s="19" t="n"/>
      <c r="C381" s="1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" customHeight="1">
      <c r="A382" s="9" t="n"/>
      <c r="B382" s="19" t="n"/>
      <c r="C382" s="1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" customHeight="1">
      <c r="A383" s="9" t="n"/>
      <c r="B383" s="19" t="n"/>
      <c r="C383" s="1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" customHeight="1">
      <c r="A384" s="9" t="n"/>
      <c r="B384" s="19" t="n"/>
      <c r="C384" s="1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" customHeight="1">
      <c r="A385" s="9" t="n"/>
      <c r="B385" s="19" t="n"/>
      <c r="C385" s="1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" customHeight="1">
      <c r="A386" s="9" t="n"/>
      <c r="B386" s="19" t="n"/>
      <c r="C386" s="1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" customHeight="1">
      <c r="A387" s="9" t="n"/>
      <c r="B387" s="19" t="n"/>
      <c r="C387" s="1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" customHeight="1">
      <c r="A388" s="9" t="n"/>
      <c r="B388" s="19" t="n"/>
      <c r="C388" s="1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" customHeight="1">
      <c r="A389" s="9" t="n"/>
      <c r="B389" s="19" t="n"/>
      <c r="C389" s="1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" customHeight="1">
      <c r="A390" s="9" t="n"/>
      <c r="B390" s="19" t="n"/>
      <c r="C390" s="1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" customHeight="1">
      <c r="A391" s="9" t="n"/>
      <c r="B391" s="19" t="n"/>
      <c r="C391" s="1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" customHeight="1">
      <c r="A392" s="9" t="n"/>
      <c r="B392" s="19" t="n"/>
      <c r="C392" s="1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" customHeight="1">
      <c r="A393" s="9" t="n"/>
      <c r="B393" s="19" t="n"/>
      <c r="C393" s="1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" customHeight="1">
      <c r="A394" s="9" t="n"/>
      <c r="B394" s="19" t="n"/>
      <c r="C394" s="1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" customHeight="1">
      <c r="A395" s="9" t="n"/>
      <c r="B395" s="19" t="n"/>
      <c r="C395" s="1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" customHeight="1">
      <c r="A396" s="9" t="n"/>
      <c r="B396" s="19" t="n"/>
      <c r="C396" s="1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" customHeight="1">
      <c r="A397" s="9" t="n"/>
      <c r="B397" s="19" t="n"/>
      <c r="C397" s="1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" customHeight="1">
      <c r="A398" s="9" t="n"/>
      <c r="B398" s="19" t="n"/>
      <c r="C398" s="1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" customHeight="1">
      <c r="A399" s="9" t="n"/>
      <c r="B399" s="19" t="n"/>
      <c r="C399" s="1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" customHeight="1">
      <c r="A400" s="9" t="n"/>
      <c r="B400" s="19" t="n"/>
      <c r="C400" s="1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" customHeight="1">
      <c r="A401" s="9" t="n"/>
      <c r="B401" s="19" t="n"/>
      <c r="C401" s="1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" customHeight="1">
      <c r="A402" s="9" t="n"/>
      <c r="B402" s="19" t="n"/>
      <c r="C402" s="1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" customHeight="1">
      <c r="A403" s="9" t="n"/>
      <c r="B403" s="19" t="n"/>
      <c r="C403" s="1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" customHeight="1">
      <c r="A404" s="9" t="n"/>
      <c r="B404" s="19" t="n"/>
      <c r="C404" s="1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" customHeight="1">
      <c r="A405" s="9" t="n"/>
      <c r="B405" s="19" t="n"/>
      <c r="C405" s="1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" customHeight="1">
      <c r="A406" s="9" t="n"/>
      <c r="B406" s="19" t="n"/>
      <c r="C406" s="1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" customHeight="1">
      <c r="A407" s="9" t="n"/>
      <c r="B407" s="19" t="n"/>
      <c r="C407" s="1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" customHeight="1">
      <c r="A408" s="9" t="n"/>
      <c r="B408" s="19" t="n"/>
      <c r="C408" s="1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" customHeight="1">
      <c r="A409" s="9" t="n"/>
      <c r="B409" s="19" t="n"/>
      <c r="C409" s="1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" customHeight="1">
      <c r="A410" s="9" t="n"/>
      <c r="B410" s="19" t="n"/>
      <c r="C410" s="1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" customHeight="1">
      <c r="A411" s="9" t="n"/>
      <c r="B411" s="19" t="n"/>
      <c r="C411" s="1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" customHeight="1">
      <c r="A412" s="9" t="n"/>
      <c r="B412" s="19" t="n"/>
      <c r="C412" s="1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" customHeight="1">
      <c r="A413" s="9" t="n"/>
      <c r="B413" s="19" t="n"/>
      <c r="C413" s="1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" customHeight="1">
      <c r="A414" s="9" t="n"/>
      <c r="B414" s="19" t="n"/>
      <c r="C414" s="1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" customHeight="1">
      <c r="A415" s="9" t="n"/>
      <c r="B415" s="19" t="n"/>
      <c r="C415" s="1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" customHeight="1">
      <c r="A416" s="9" t="n"/>
      <c r="B416" s="19" t="n"/>
      <c r="C416" s="1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" customHeight="1">
      <c r="A417" s="9" t="n"/>
      <c r="B417" s="19" t="n"/>
      <c r="C417" s="1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" customHeight="1">
      <c r="A418" s="9" t="n"/>
      <c r="B418" s="19" t="n"/>
      <c r="C418" s="1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" customHeight="1">
      <c r="A419" s="9" t="n"/>
      <c r="B419" s="19" t="n"/>
      <c r="C419" s="1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" customHeight="1">
      <c r="A420" s="9" t="n"/>
      <c r="B420" s="19" t="n"/>
      <c r="C420" s="1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" customHeight="1">
      <c r="A421" s="9" t="n"/>
      <c r="B421" s="19" t="n"/>
      <c r="C421" s="1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" customHeight="1">
      <c r="A422" s="9" t="n"/>
      <c r="B422" s="19" t="n"/>
      <c r="C422" s="1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" customHeight="1">
      <c r="A423" s="9" t="n"/>
      <c r="B423" s="19" t="n"/>
      <c r="C423" s="1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" customHeight="1">
      <c r="A424" s="9" t="n"/>
      <c r="B424" s="19" t="n"/>
      <c r="C424" s="1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" customHeight="1">
      <c r="A425" s="9" t="n"/>
      <c r="B425" s="19" t="n"/>
      <c r="C425" s="1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" customHeight="1">
      <c r="A426" s="9" t="n"/>
      <c r="B426" s="19" t="n"/>
      <c r="C426" s="1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" customHeight="1">
      <c r="A427" s="9" t="n"/>
      <c r="B427" s="19" t="n"/>
      <c r="C427" s="1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" customHeight="1">
      <c r="A428" s="9" t="n"/>
      <c r="B428" s="19" t="n"/>
      <c r="C428" s="1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" customHeight="1">
      <c r="A429" s="9" t="n"/>
      <c r="B429" s="19" t="n"/>
      <c r="C429" s="1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" customHeight="1">
      <c r="A430" s="9" t="n"/>
      <c r="B430" s="19" t="n"/>
      <c r="C430" s="1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" customHeight="1">
      <c r="A431" s="9" t="n"/>
      <c r="B431" s="19" t="n"/>
      <c r="C431" s="1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" customHeight="1">
      <c r="A432" s="9" t="n"/>
      <c r="B432" s="19" t="n"/>
      <c r="C432" s="1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" customHeight="1">
      <c r="A433" s="9" t="n"/>
      <c r="B433" s="19" t="n"/>
      <c r="C433" s="1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" customHeight="1">
      <c r="A434" s="9" t="n"/>
      <c r="B434" s="19" t="n"/>
      <c r="C434" s="1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" customHeight="1">
      <c r="A435" s="9" t="n"/>
      <c r="B435" s="19" t="n"/>
      <c r="C435" s="1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" customHeight="1">
      <c r="A436" s="9" t="n"/>
      <c r="B436" s="19" t="n"/>
      <c r="C436" s="1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" customHeight="1">
      <c r="A437" s="9" t="n"/>
      <c r="B437" s="19" t="n"/>
      <c r="C437" s="1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" customHeight="1">
      <c r="A438" s="9" t="n"/>
      <c r="B438" s="19" t="n"/>
      <c r="C438" s="1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" customHeight="1">
      <c r="A439" s="9" t="n"/>
      <c r="B439" s="19" t="n"/>
      <c r="C439" s="1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" customHeight="1">
      <c r="A440" s="9" t="n"/>
      <c r="B440" s="19" t="n"/>
      <c r="C440" s="1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" customHeight="1">
      <c r="A441" s="9" t="n"/>
      <c r="B441" s="19" t="n"/>
      <c r="C441" s="1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" customHeight="1">
      <c r="A442" s="9" t="n"/>
      <c r="B442" s="19" t="n"/>
      <c r="C442" s="1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" customHeight="1">
      <c r="A443" s="9" t="n"/>
      <c r="B443" s="19" t="n"/>
      <c r="C443" s="1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" customHeight="1">
      <c r="A444" s="9" t="n"/>
      <c r="B444" s="19" t="n"/>
      <c r="C444" s="1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" customHeight="1">
      <c r="A445" s="9" t="n"/>
      <c r="B445" s="19" t="n"/>
      <c r="C445" s="1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" customHeight="1">
      <c r="A446" s="9" t="n"/>
      <c r="B446" s="19" t="n"/>
      <c r="C446" s="1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" customHeight="1">
      <c r="A447" s="9" t="n"/>
      <c r="B447" s="19" t="n"/>
      <c r="C447" s="1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" customHeight="1">
      <c r="A448" s="9" t="n"/>
      <c r="B448" s="19" t="n"/>
      <c r="C448" s="1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" customHeight="1">
      <c r="A449" s="9" t="n"/>
      <c r="B449" s="19" t="n"/>
      <c r="C449" s="1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" customHeight="1">
      <c r="A450" s="9" t="n"/>
      <c r="B450" s="19" t="n"/>
      <c r="C450" s="1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" customHeight="1">
      <c r="A451" s="9" t="n"/>
      <c r="B451" s="19" t="n"/>
      <c r="C451" s="1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" customHeight="1">
      <c r="A452" s="9" t="n"/>
      <c r="B452" s="19" t="n"/>
      <c r="C452" s="1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" customHeight="1">
      <c r="A453" s="9" t="n"/>
      <c r="B453" s="19" t="n"/>
      <c r="C453" s="1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" customHeight="1">
      <c r="A454" s="9" t="n"/>
      <c r="B454" s="19" t="n"/>
      <c r="C454" s="1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" customHeight="1">
      <c r="A455" s="9" t="n"/>
      <c r="B455" s="19" t="n"/>
      <c r="C455" s="1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" customHeight="1">
      <c r="A456" s="9" t="n"/>
      <c r="B456" s="19" t="n"/>
      <c r="C456" s="1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" customHeight="1">
      <c r="A457" s="9" t="n"/>
      <c r="B457" s="19" t="n"/>
      <c r="C457" s="1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" customHeight="1">
      <c r="A458" s="9" t="n"/>
      <c r="B458" s="19" t="n"/>
      <c r="C458" s="1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" customHeight="1">
      <c r="A459" s="9" t="n"/>
      <c r="B459" s="19" t="n"/>
      <c r="C459" s="1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" customHeight="1">
      <c r="A460" s="9" t="n"/>
      <c r="B460" s="19" t="n"/>
      <c r="C460" s="1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" customHeight="1">
      <c r="A461" s="9" t="n"/>
      <c r="B461" s="19" t="n"/>
      <c r="C461" s="1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" customHeight="1">
      <c r="A462" s="9" t="n"/>
      <c r="B462" s="19" t="n"/>
      <c r="C462" s="1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" customHeight="1">
      <c r="A463" s="9" t="n"/>
      <c r="B463" s="19" t="n"/>
      <c r="C463" s="1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" customHeight="1">
      <c r="A464" s="9" t="n"/>
      <c r="B464" s="19" t="n"/>
      <c r="C464" s="1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" customHeight="1">
      <c r="A465" s="9" t="n"/>
      <c r="B465" s="19" t="n"/>
      <c r="C465" s="1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" customHeight="1">
      <c r="A466" s="9" t="n"/>
      <c r="B466" s="19" t="n"/>
      <c r="C466" s="1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" customHeight="1">
      <c r="A467" s="9" t="n"/>
      <c r="B467" s="19" t="n"/>
      <c r="C467" s="1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" customHeight="1">
      <c r="A468" s="9" t="n"/>
      <c r="B468" s="19" t="n"/>
      <c r="C468" s="1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" customHeight="1">
      <c r="A469" s="9" t="n"/>
      <c r="B469" s="19" t="n"/>
      <c r="C469" s="1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" customHeight="1">
      <c r="A470" s="9" t="n"/>
      <c r="B470" s="19" t="n"/>
      <c r="C470" s="1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" customHeight="1">
      <c r="A471" s="9" t="n"/>
      <c r="B471" s="19" t="n"/>
      <c r="C471" s="1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" customHeight="1">
      <c r="A472" s="9" t="n"/>
      <c r="B472" s="19" t="n"/>
      <c r="C472" s="1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" customHeight="1">
      <c r="A473" s="9" t="n"/>
      <c r="B473" s="19" t="n"/>
      <c r="C473" s="1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" customHeight="1">
      <c r="A474" s="9" t="n"/>
      <c r="B474" s="19" t="n"/>
      <c r="C474" s="1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" customHeight="1">
      <c r="A475" s="9" t="n"/>
      <c r="B475" s="19" t="n"/>
      <c r="C475" s="1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" customHeight="1">
      <c r="A476" s="9" t="n"/>
      <c r="B476" s="19" t="n"/>
      <c r="C476" s="1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" customHeight="1">
      <c r="A477" s="9" t="n"/>
      <c r="B477" s="19" t="n"/>
      <c r="C477" s="1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" customHeight="1">
      <c r="A478" s="9" t="n"/>
      <c r="B478" s="19" t="n"/>
      <c r="C478" s="1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" customHeight="1">
      <c r="A479" s="9" t="n"/>
      <c r="B479" s="19" t="n"/>
      <c r="C479" s="1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" customHeight="1">
      <c r="A480" s="9" t="n"/>
      <c r="B480" s="19" t="n"/>
      <c r="C480" s="1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" customHeight="1">
      <c r="A481" s="9" t="n"/>
      <c r="B481" s="19" t="n"/>
      <c r="C481" s="1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" customHeight="1">
      <c r="A482" s="9" t="n"/>
      <c r="B482" s="19" t="n"/>
      <c r="C482" s="1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" customHeight="1">
      <c r="A483" s="9" t="n"/>
      <c r="B483" s="19" t="n"/>
      <c r="C483" s="1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" customHeight="1">
      <c r="A484" s="9" t="n"/>
      <c r="B484" s="19" t="n"/>
      <c r="C484" s="1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" customHeight="1">
      <c r="A485" s="9" t="n"/>
      <c r="B485" s="19" t="n"/>
      <c r="C485" s="1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" customHeight="1">
      <c r="A486" s="9" t="n"/>
      <c r="B486" s="19" t="n"/>
      <c r="C486" s="1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" customHeight="1">
      <c r="A487" s="9" t="n"/>
      <c r="B487" s="19" t="n"/>
      <c r="C487" s="1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" customHeight="1">
      <c r="A488" s="9" t="n"/>
      <c r="B488" s="19" t="n"/>
      <c r="C488" s="1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" customHeight="1">
      <c r="A489" s="9" t="n"/>
      <c r="B489" s="19" t="n"/>
      <c r="C489" s="1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" customHeight="1">
      <c r="A490" s="9" t="n"/>
      <c r="B490" s="19" t="n"/>
      <c r="C490" s="1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" customHeight="1">
      <c r="A491" s="9" t="n"/>
      <c r="B491" s="19" t="n"/>
      <c r="C491" s="1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" customHeight="1">
      <c r="A492" s="9" t="n"/>
      <c r="B492" s="19" t="n"/>
      <c r="C492" s="1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" customHeight="1">
      <c r="A493" s="9" t="n"/>
      <c r="B493" s="19" t="n"/>
      <c r="C493" s="1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" customHeight="1">
      <c r="A494" s="9" t="n"/>
      <c r="B494" s="19" t="n"/>
      <c r="C494" s="1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" customHeight="1">
      <c r="A495" s="9" t="n"/>
      <c r="B495" s="19" t="n"/>
      <c r="C495" s="1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" customHeight="1">
      <c r="A496" s="9" t="n"/>
      <c r="B496" s="19" t="n"/>
      <c r="C496" s="1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" customHeight="1">
      <c r="A497" s="9" t="n"/>
      <c r="B497" s="19" t="n"/>
      <c r="C497" s="1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" customHeight="1">
      <c r="A498" s="9" t="n"/>
      <c r="B498" s="19" t="n"/>
      <c r="C498" s="1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" customHeight="1">
      <c r="A499" s="9" t="n"/>
      <c r="B499" s="19" t="n"/>
      <c r="C499" s="1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" customHeight="1">
      <c r="A500" s="9" t="n"/>
      <c r="B500" s="19" t="n"/>
      <c r="C500" s="1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" customHeight="1">
      <c r="A501" s="9" t="n"/>
      <c r="B501" s="19" t="n"/>
      <c r="C501" s="1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" customHeight="1">
      <c r="A502" s="9" t="n"/>
      <c r="B502" s="19" t="n"/>
      <c r="C502" s="1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" customHeight="1">
      <c r="A503" s="9" t="n"/>
      <c r="B503" s="19" t="n"/>
      <c r="C503" s="1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" customHeight="1">
      <c r="A504" s="9" t="n"/>
      <c r="B504" s="19" t="n"/>
      <c r="C504" s="1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" customHeight="1">
      <c r="A505" s="9" t="n"/>
      <c r="B505" s="19" t="n"/>
      <c r="C505" s="1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" customHeight="1">
      <c r="A506" s="9" t="n"/>
      <c r="B506" s="19" t="n"/>
      <c r="C506" s="1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" customHeight="1">
      <c r="A507" s="9" t="n"/>
      <c r="B507" s="19" t="n"/>
      <c r="C507" s="1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" customHeight="1">
      <c r="A508" s="9" t="n"/>
      <c r="B508" s="19" t="n"/>
      <c r="C508" s="1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" customHeight="1">
      <c r="A509" s="9" t="n"/>
      <c r="B509" s="19" t="n"/>
      <c r="C509" s="1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" customHeight="1">
      <c r="A510" s="9" t="n"/>
      <c r="B510" s="19" t="n"/>
      <c r="C510" s="1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" customHeight="1">
      <c r="A511" s="9" t="n"/>
      <c r="B511" s="19" t="n"/>
      <c r="C511" s="1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" customHeight="1">
      <c r="A512" s="9" t="n"/>
      <c r="B512" s="19" t="n"/>
      <c r="C512" s="1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" customHeight="1">
      <c r="A513" s="9" t="n"/>
      <c r="B513" s="19" t="n"/>
      <c r="C513" s="1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" customHeight="1">
      <c r="A514" s="9" t="n"/>
      <c r="B514" s="19" t="n"/>
      <c r="C514" s="1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" customHeight="1">
      <c r="A515" s="9" t="n"/>
      <c r="B515" s="19" t="n"/>
      <c r="C515" s="1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" customHeight="1">
      <c r="A516" s="9" t="n"/>
      <c r="B516" s="19" t="n"/>
      <c r="C516" s="1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" customHeight="1">
      <c r="A517" s="9" t="n"/>
      <c r="B517" s="19" t="n"/>
      <c r="C517" s="1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" customHeight="1">
      <c r="A518" s="9" t="n"/>
      <c r="B518" s="19" t="n"/>
      <c r="C518" s="1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" customHeight="1">
      <c r="A519" s="9" t="n"/>
      <c r="B519" s="19" t="n"/>
      <c r="C519" s="1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" customHeight="1">
      <c r="A520" s="9" t="n"/>
      <c r="B520" s="19" t="n"/>
      <c r="C520" s="1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" customHeight="1">
      <c r="A521" s="9" t="n"/>
      <c r="B521" s="19" t="n"/>
      <c r="C521" s="1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" customHeight="1">
      <c r="A522" s="9" t="n"/>
      <c r="B522" s="19" t="n"/>
      <c r="C522" s="1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" customHeight="1">
      <c r="A523" s="9" t="n"/>
      <c r="B523" s="19" t="n"/>
      <c r="C523" s="1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" customHeight="1">
      <c r="A524" s="9" t="n"/>
      <c r="B524" s="19" t="n"/>
      <c r="C524" s="1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" customHeight="1">
      <c r="A525" s="9" t="n"/>
      <c r="B525" s="19" t="n"/>
      <c r="C525" s="1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" customHeight="1">
      <c r="A526" s="9" t="n"/>
      <c r="B526" s="19" t="n"/>
      <c r="C526" s="1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" customHeight="1">
      <c r="A527" s="9" t="n"/>
      <c r="B527" s="19" t="n"/>
      <c r="C527" s="1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" customHeight="1">
      <c r="A528" s="9" t="n"/>
      <c r="B528" s="19" t="n"/>
      <c r="C528" s="1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" customHeight="1">
      <c r="A529" s="9" t="n"/>
      <c r="B529" s="19" t="n"/>
      <c r="C529" s="1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" customHeight="1">
      <c r="A530" s="9" t="n"/>
      <c r="B530" s="19" t="n"/>
      <c r="C530" s="1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" customHeight="1">
      <c r="A531" s="9" t="n"/>
      <c r="B531" s="19" t="n"/>
      <c r="C531" s="1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" customHeight="1">
      <c r="A532" s="9" t="n"/>
      <c r="B532" s="19" t="n"/>
      <c r="C532" s="1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" customHeight="1">
      <c r="A533" s="9" t="n"/>
      <c r="B533" s="19" t="n"/>
      <c r="C533" s="1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" customHeight="1">
      <c r="A534" s="9" t="n"/>
      <c r="B534" s="19" t="n"/>
      <c r="C534" s="1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" customHeight="1">
      <c r="A535" s="9" t="n"/>
      <c r="B535" s="19" t="n"/>
      <c r="C535" s="1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" customHeight="1">
      <c r="A536" s="9" t="n"/>
      <c r="B536" s="19" t="n"/>
      <c r="C536" s="1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" customHeight="1">
      <c r="A537" s="9" t="n"/>
      <c r="B537" s="19" t="n"/>
      <c r="C537" s="1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" customHeight="1">
      <c r="A538" s="9" t="n"/>
      <c r="B538" s="19" t="n"/>
      <c r="C538" s="1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" customHeight="1">
      <c r="A539" s="9" t="n"/>
      <c r="B539" s="19" t="n"/>
      <c r="C539" s="1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" customHeight="1">
      <c r="A540" s="9" t="n"/>
      <c r="B540" s="19" t="n"/>
      <c r="C540" s="1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" customHeight="1">
      <c r="A541" s="9" t="n"/>
      <c r="B541" s="19" t="n"/>
      <c r="C541" s="1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" customHeight="1">
      <c r="A542" s="9" t="n"/>
      <c r="B542" s="19" t="n"/>
      <c r="C542" s="1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" customHeight="1">
      <c r="A543" s="9" t="n"/>
      <c r="B543" s="19" t="n"/>
      <c r="C543" s="1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" customHeight="1">
      <c r="A544" s="9" t="n"/>
      <c r="B544" s="19" t="n"/>
      <c r="C544" s="1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" customHeight="1">
      <c r="A545" s="9" t="n"/>
      <c r="B545" s="19" t="n"/>
      <c r="C545" s="1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" customHeight="1">
      <c r="A546" s="9" t="n"/>
      <c r="B546" s="19" t="n"/>
      <c r="C546" s="1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" customHeight="1">
      <c r="A547" s="9" t="n"/>
      <c r="B547" s="19" t="n"/>
      <c r="C547" s="1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" customHeight="1">
      <c r="A548" s="9" t="n"/>
      <c r="B548" s="19" t="n"/>
      <c r="C548" s="1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" customHeight="1">
      <c r="A549" s="9" t="n"/>
      <c r="B549" s="19" t="n"/>
      <c r="C549" s="1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" customHeight="1">
      <c r="A550" s="9" t="n"/>
      <c r="B550" s="19" t="n"/>
      <c r="C550" s="1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" customHeight="1">
      <c r="A551" s="9" t="n"/>
      <c r="B551" s="19" t="n"/>
      <c r="C551" s="1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" customHeight="1">
      <c r="A552" s="9" t="n"/>
      <c r="B552" s="19" t="n"/>
      <c r="C552" s="1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" customHeight="1">
      <c r="A553" s="9" t="n"/>
      <c r="B553" s="19" t="n"/>
      <c r="C553" s="1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" customHeight="1">
      <c r="A554" s="9" t="n"/>
      <c r="B554" s="19" t="n"/>
      <c r="C554" s="1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" customHeight="1">
      <c r="A555" s="9" t="n"/>
      <c r="B555" s="19" t="n"/>
      <c r="C555" s="1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" customHeight="1">
      <c r="A556" s="9" t="n"/>
      <c r="B556" s="19" t="n"/>
      <c r="C556" s="1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" customHeight="1">
      <c r="A557" s="9" t="n"/>
      <c r="B557" s="19" t="n"/>
      <c r="C557" s="1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" customHeight="1">
      <c r="A558" s="9" t="n"/>
      <c r="B558" s="19" t="n"/>
      <c r="C558" s="1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" customHeight="1">
      <c r="A559" s="9" t="n"/>
      <c r="B559" s="19" t="n"/>
      <c r="C559" s="1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" customHeight="1">
      <c r="A560" s="9" t="n"/>
      <c r="B560" s="19" t="n"/>
      <c r="C560" s="1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" customHeight="1">
      <c r="A561" s="9" t="n"/>
      <c r="B561" s="19" t="n"/>
      <c r="C561" s="1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" customHeight="1">
      <c r="A562" s="9" t="n"/>
      <c r="B562" s="19" t="n"/>
      <c r="C562" s="1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" customHeight="1">
      <c r="A563" s="9" t="n"/>
      <c r="B563" s="19" t="n"/>
      <c r="C563" s="1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" customHeight="1">
      <c r="A564" s="9" t="n"/>
      <c r="B564" s="19" t="n"/>
      <c r="C564" s="1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" customHeight="1">
      <c r="A565" s="9" t="n"/>
      <c r="B565" s="19" t="n"/>
      <c r="C565" s="1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" customHeight="1">
      <c r="A566" s="9" t="n"/>
      <c r="B566" s="19" t="n"/>
      <c r="C566" s="1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" customHeight="1">
      <c r="A567" s="9" t="n"/>
      <c r="B567" s="19" t="n"/>
      <c r="C567" s="1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" customHeight="1">
      <c r="A568" s="9" t="n"/>
      <c r="B568" s="19" t="n"/>
      <c r="C568" s="1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" customHeight="1">
      <c r="A569" s="9" t="n"/>
      <c r="B569" s="19" t="n"/>
      <c r="C569" s="1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" customHeight="1">
      <c r="A570" s="9" t="n"/>
      <c r="B570" s="19" t="n"/>
      <c r="C570" s="1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" customHeight="1">
      <c r="A571" s="9" t="n"/>
      <c r="B571" s="19" t="n"/>
      <c r="C571" s="1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" customHeight="1">
      <c r="A572" s="9" t="n"/>
      <c r="B572" s="19" t="n"/>
      <c r="C572" s="1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" customHeight="1">
      <c r="A573" s="9" t="n"/>
      <c r="B573" s="19" t="n"/>
      <c r="C573" s="1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" customHeight="1">
      <c r="A574" s="9" t="n"/>
      <c r="B574" s="19" t="n"/>
      <c r="C574" s="1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" customHeight="1">
      <c r="A575" s="9" t="n"/>
      <c r="B575" s="19" t="n"/>
      <c r="C575" s="1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" customHeight="1">
      <c r="A576" s="9" t="n"/>
      <c r="B576" s="19" t="n"/>
      <c r="C576" s="1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" customHeight="1">
      <c r="A577" s="9" t="n"/>
      <c r="B577" s="19" t="n"/>
      <c r="C577" s="1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" customHeight="1">
      <c r="A578" s="9" t="n"/>
      <c r="B578" s="19" t="n"/>
      <c r="C578" s="1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" customHeight="1">
      <c r="A579" s="9" t="n"/>
      <c r="B579" s="19" t="n"/>
      <c r="C579" s="1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" customHeight="1">
      <c r="A580" s="9" t="n"/>
      <c r="B580" s="19" t="n"/>
      <c r="C580" s="1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" customHeight="1">
      <c r="A581" s="9" t="n"/>
      <c r="B581" s="19" t="n"/>
      <c r="C581" s="1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" customHeight="1">
      <c r="A582" s="9" t="n"/>
      <c r="B582" s="19" t="n"/>
      <c r="C582" s="1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" customHeight="1">
      <c r="A583" s="9" t="n"/>
      <c r="B583" s="19" t="n"/>
      <c r="C583" s="1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" customHeight="1">
      <c r="A584" s="9" t="n"/>
      <c r="B584" s="19" t="n"/>
      <c r="C584" s="1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" customHeight="1">
      <c r="A585" s="9" t="n"/>
      <c r="B585" s="19" t="n"/>
      <c r="C585" s="1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" customHeight="1">
      <c r="A586" s="9" t="n"/>
      <c r="B586" s="19" t="n"/>
      <c r="C586" s="1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" customHeight="1">
      <c r="A587" s="9" t="n"/>
      <c r="B587" s="19" t="n"/>
      <c r="C587" s="1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" customHeight="1">
      <c r="A588" s="9" t="n"/>
      <c r="B588" s="19" t="n"/>
      <c r="C588" s="1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" customHeight="1">
      <c r="A589" s="9" t="n"/>
      <c r="B589" s="19" t="n"/>
      <c r="C589" s="1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" customHeight="1">
      <c r="A590" s="9" t="n"/>
      <c r="B590" s="19" t="n"/>
      <c r="C590" s="1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" customHeight="1">
      <c r="A591" s="9" t="n"/>
      <c r="B591" s="19" t="n"/>
      <c r="C591" s="1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" customHeight="1">
      <c r="A592" s="9" t="n"/>
      <c r="B592" s="19" t="n"/>
      <c r="C592" s="1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" customHeight="1">
      <c r="A593" s="9" t="n"/>
      <c r="B593" s="19" t="n"/>
      <c r="C593" s="1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" customHeight="1">
      <c r="A594" s="9" t="n"/>
      <c r="B594" s="19" t="n"/>
      <c r="C594" s="1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" customHeight="1">
      <c r="A595" s="9" t="n"/>
      <c r="B595" s="19" t="n"/>
      <c r="C595" s="1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" customHeight="1">
      <c r="A596" s="9" t="n"/>
      <c r="B596" s="19" t="n"/>
      <c r="C596" s="1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" customHeight="1">
      <c r="A597" s="9" t="n"/>
      <c r="B597" s="19" t="n"/>
      <c r="C597" s="1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" customHeight="1">
      <c r="A598" s="9" t="n"/>
      <c r="B598" s="19" t="n"/>
      <c r="C598" s="1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" customHeight="1">
      <c r="A599" s="9" t="n"/>
      <c r="B599" s="19" t="n"/>
      <c r="C599" s="1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" customHeight="1">
      <c r="A600" s="9" t="n"/>
      <c r="B600" s="19" t="n"/>
      <c r="C600" s="1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" customHeight="1">
      <c r="A601" s="9" t="n"/>
      <c r="B601" s="19" t="n"/>
      <c r="C601" s="1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" customHeight="1">
      <c r="A602" s="9" t="n"/>
      <c r="B602" s="19" t="n"/>
      <c r="C602" s="1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" customHeight="1">
      <c r="A603" s="9" t="n"/>
      <c r="B603" s="19" t="n"/>
      <c r="C603" s="1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" customHeight="1">
      <c r="A604" s="9" t="n"/>
      <c r="B604" s="19" t="n"/>
      <c r="C604" s="1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" customHeight="1">
      <c r="A605" s="9" t="n"/>
      <c r="B605" s="19" t="n"/>
      <c r="C605" s="1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" customHeight="1">
      <c r="A606" s="9" t="n"/>
      <c r="B606" s="19" t="n"/>
      <c r="C606" s="1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" customHeight="1">
      <c r="A607" s="9" t="n"/>
      <c r="B607" s="19" t="n"/>
      <c r="C607" s="1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" customHeight="1">
      <c r="A608" s="9" t="n"/>
      <c r="B608" s="19" t="n"/>
      <c r="C608" s="1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" customHeight="1">
      <c r="A609" s="9" t="n"/>
      <c r="B609" s="19" t="n"/>
      <c r="C609" s="1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" customHeight="1">
      <c r="A610" s="9" t="n"/>
      <c r="B610" s="19" t="n"/>
      <c r="C610" s="1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" customHeight="1">
      <c r="A611" s="9" t="n"/>
      <c r="B611" s="19" t="n"/>
      <c r="C611" s="1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" customHeight="1">
      <c r="A612" s="9" t="n"/>
      <c r="B612" s="19" t="n"/>
      <c r="C612" s="1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" customHeight="1">
      <c r="A613" s="9" t="n"/>
      <c r="B613" s="19" t="n"/>
      <c r="C613" s="1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" customHeight="1">
      <c r="A614" s="9" t="n"/>
      <c r="B614" s="19" t="n"/>
      <c r="C614" s="1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" customHeight="1">
      <c r="A615" s="9" t="n"/>
      <c r="B615" s="19" t="n"/>
      <c r="C615" s="1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" customHeight="1">
      <c r="A616" s="9" t="n"/>
      <c r="B616" s="19" t="n"/>
      <c r="C616" s="1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" customHeight="1">
      <c r="A617" s="9" t="n"/>
      <c r="B617" s="19" t="n"/>
      <c r="C617" s="1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" customHeight="1">
      <c r="A618" s="9" t="n"/>
      <c r="B618" s="19" t="n"/>
      <c r="C618" s="1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" customHeight="1">
      <c r="A619" s="9" t="n"/>
      <c r="B619" s="19" t="n"/>
      <c r="C619" s="1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" customHeight="1">
      <c r="A620" s="9" t="n"/>
      <c r="B620" s="19" t="n"/>
      <c r="C620" s="1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" customHeight="1">
      <c r="A621" s="9" t="n"/>
      <c r="B621" s="19" t="n"/>
      <c r="C621" s="1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" customHeight="1">
      <c r="A622" s="9" t="n"/>
      <c r="B622" s="19" t="n"/>
      <c r="C622" s="1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" customHeight="1">
      <c r="A623" s="9" t="n"/>
      <c r="B623" s="19" t="n"/>
      <c r="C623" s="1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" customHeight="1">
      <c r="A624" s="9" t="n"/>
      <c r="B624" s="19" t="n"/>
      <c r="C624" s="1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" customHeight="1">
      <c r="A625" s="9" t="n"/>
      <c r="B625" s="19" t="n"/>
      <c r="C625" s="1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" customHeight="1">
      <c r="A626" s="9" t="n"/>
      <c r="B626" s="19" t="n"/>
      <c r="C626" s="1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" customHeight="1">
      <c r="A627" s="9" t="n"/>
      <c r="B627" s="19" t="n"/>
      <c r="C627" s="1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" customHeight="1">
      <c r="A628" s="9" t="n"/>
      <c r="B628" s="19" t="n"/>
      <c r="C628" s="1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" customHeight="1">
      <c r="A629" s="9" t="n"/>
      <c r="B629" s="19" t="n"/>
      <c r="C629" s="1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" customHeight="1">
      <c r="A630" s="9" t="n"/>
      <c r="B630" s="19" t="n"/>
      <c r="C630" s="1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" customHeight="1">
      <c r="A631" s="9" t="n"/>
      <c r="B631" s="19" t="n"/>
      <c r="C631" s="1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" customHeight="1">
      <c r="A632" s="9" t="n"/>
      <c r="B632" s="19" t="n"/>
      <c r="C632" s="1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" customHeight="1">
      <c r="A633" s="9" t="n"/>
      <c r="B633" s="19" t="n"/>
      <c r="C633" s="1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" customHeight="1">
      <c r="A634" s="9" t="n"/>
      <c r="B634" s="19" t="n"/>
      <c r="C634" s="1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" customHeight="1">
      <c r="A635" s="9" t="n"/>
      <c r="B635" s="19" t="n"/>
      <c r="C635" s="1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" customHeight="1">
      <c r="A636" s="9" t="n"/>
      <c r="B636" s="19" t="n"/>
      <c r="C636" s="1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" customHeight="1">
      <c r="A637" s="9" t="n"/>
      <c r="B637" s="19" t="n"/>
      <c r="C637" s="1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" customHeight="1">
      <c r="A638" s="9" t="n"/>
      <c r="B638" s="19" t="n"/>
      <c r="C638" s="1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" customHeight="1">
      <c r="A639" s="9" t="n"/>
      <c r="B639" s="19" t="n"/>
      <c r="C639" s="1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" customHeight="1">
      <c r="A640" s="9" t="n"/>
      <c r="B640" s="19" t="n"/>
      <c r="C640" s="1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" customHeight="1">
      <c r="A641" s="9" t="n"/>
      <c r="B641" s="19" t="n"/>
      <c r="C641" s="1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" customHeight="1">
      <c r="A642" s="9" t="n"/>
      <c r="B642" s="19" t="n"/>
      <c r="C642" s="1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" customHeight="1">
      <c r="A643" s="9" t="n"/>
      <c r="B643" s="19" t="n"/>
      <c r="C643" s="1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" customHeight="1">
      <c r="A644" s="9" t="n"/>
      <c r="B644" s="19" t="n"/>
      <c r="C644" s="1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" customHeight="1">
      <c r="A645" s="9" t="n"/>
      <c r="B645" s="19" t="n"/>
      <c r="C645" s="1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" customHeight="1">
      <c r="A646" s="9" t="n"/>
      <c r="B646" s="19" t="n"/>
      <c r="C646" s="1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" customHeight="1">
      <c r="A647" s="9" t="n"/>
      <c r="B647" s="19" t="n"/>
      <c r="C647" s="1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" customHeight="1">
      <c r="A648" s="9" t="n"/>
      <c r="B648" s="19" t="n"/>
      <c r="C648" s="1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" customHeight="1">
      <c r="A649" s="9" t="n"/>
      <c r="B649" s="19" t="n"/>
      <c r="C649" s="1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" customHeight="1">
      <c r="A650" s="9" t="n"/>
      <c r="B650" s="19" t="n"/>
      <c r="C650" s="1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" customHeight="1">
      <c r="A651" s="9" t="n"/>
      <c r="B651" s="19" t="n"/>
      <c r="C651" s="1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" customHeight="1">
      <c r="A652" s="9" t="n"/>
      <c r="B652" s="19" t="n"/>
      <c r="C652" s="1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" customHeight="1">
      <c r="A653" s="9" t="n"/>
      <c r="B653" s="19" t="n"/>
      <c r="C653" s="1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" customHeight="1">
      <c r="A654" s="9" t="n"/>
      <c r="B654" s="19" t="n"/>
      <c r="C654" s="1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" customHeight="1">
      <c r="A655" s="9" t="n"/>
      <c r="B655" s="19" t="n"/>
      <c r="C655" s="1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" customHeight="1">
      <c r="A656" s="9" t="n"/>
      <c r="B656" s="19" t="n"/>
      <c r="C656" s="1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" customHeight="1">
      <c r="A657" s="9" t="n"/>
      <c r="B657" s="19" t="n"/>
      <c r="C657" s="1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" customHeight="1">
      <c r="A658" s="9" t="n"/>
      <c r="B658" s="19" t="n"/>
      <c r="C658" s="1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" customHeight="1">
      <c r="A659" s="9" t="n"/>
      <c r="B659" s="19" t="n"/>
      <c r="C659" s="1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" customHeight="1">
      <c r="A660" s="9" t="n"/>
      <c r="B660" s="19" t="n"/>
      <c r="C660" s="1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" customHeight="1">
      <c r="A661" s="9" t="n"/>
      <c r="B661" s="19" t="n"/>
      <c r="C661" s="1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" customHeight="1">
      <c r="A662" s="9" t="n"/>
      <c r="B662" s="19" t="n"/>
      <c r="C662" s="1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" customHeight="1">
      <c r="A663" s="9" t="n"/>
      <c r="B663" s="19" t="n"/>
      <c r="C663" s="1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" customHeight="1">
      <c r="A664" s="9" t="n"/>
      <c r="B664" s="19" t="n"/>
      <c r="C664" s="1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" customHeight="1">
      <c r="A665" s="9" t="n"/>
      <c r="B665" s="19" t="n"/>
      <c r="C665" s="1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" customHeight="1">
      <c r="A666" s="9" t="n"/>
      <c r="B666" s="19" t="n"/>
      <c r="C666" s="1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" customHeight="1">
      <c r="A667" s="9" t="n"/>
      <c r="B667" s="19" t="n"/>
      <c r="C667" s="1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" customHeight="1">
      <c r="A668" s="9" t="n"/>
      <c r="B668" s="19" t="n"/>
      <c r="C668" s="1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" customHeight="1">
      <c r="A669" s="9" t="n"/>
      <c r="B669" s="19" t="n"/>
      <c r="C669" s="1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" customHeight="1">
      <c r="A670" s="9" t="n"/>
      <c r="B670" s="19" t="n"/>
      <c r="C670" s="1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" customHeight="1">
      <c r="A671" s="9" t="n"/>
      <c r="B671" s="19" t="n"/>
      <c r="C671" s="1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" customHeight="1">
      <c r="A672" s="9" t="n"/>
      <c r="B672" s="19" t="n"/>
      <c r="C672" s="1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" customHeight="1">
      <c r="A673" s="9" t="n"/>
      <c r="B673" s="19" t="n"/>
      <c r="C673" s="1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" customHeight="1">
      <c r="A674" s="9" t="n"/>
      <c r="B674" s="19" t="n"/>
      <c r="C674" s="1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" customHeight="1">
      <c r="A675" s="9" t="n"/>
      <c r="B675" s="19" t="n"/>
      <c r="C675" s="1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" customHeight="1">
      <c r="A676" s="9" t="n"/>
      <c r="B676" s="19" t="n"/>
      <c r="C676" s="1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" customHeight="1">
      <c r="A677" s="9" t="n"/>
      <c r="B677" s="19" t="n"/>
      <c r="C677" s="1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" customHeight="1">
      <c r="A678" s="9" t="n"/>
      <c r="B678" s="19" t="n"/>
      <c r="C678" s="1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" customHeight="1">
      <c r="A679" s="9" t="n"/>
      <c r="B679" s="19" t="n"/>
      <c r="C679" s="1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" customHeight="1">
      <c r="A680" s="9" t="n"/>
      <c r="B680" s="19" t="n"/>
      <c r="C680" s="1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" customHeight="1">
      <c r="A681" s="9" t="n"/>
      <c r="B681" s="19" t="n"/>
      <c r="C681" s="1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" customHeight="1">
      <c r="A682" s="9" t="n"/>
      <c r="B682" s="19" t="n"/>
      <c r="C682" s="1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" customHeight="1">
      <c r="A683" s="9" t="n"/>
      <c r="B683" s="19" t="n"/>
      <c r="C683" s="1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" customHeight="1">
      <c r="A684" s="9" t="n"/>
      <c r="B684" s="19" t="n"/>
      <c r="C684" s="1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" customHeight="1">
      <c r="A685" s="9" t="n"/>
      <c r="B685" s="19" t="n"/>
      <c r="C685" s="1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" customHeight="1">
      <c r="A686" s="9" t="n"/>
      <c r="B686" s="19" t="n"/>
      <c r="C686" s="1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" customHeight="1">
      <c r="A687" s="9" t="n"/>
      <c r="B687" s="19" t="n"/>
      <c r="C687" s="1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" customHeight="1">
      <c r="A688" s="9" t="n"/>
      <c r="B688" s="19" t="n"/>
      <c r="C688" s="1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" customHeight="1">
      <c r="A689" s="9" t="n"/>
      <c r="B689" s="19" t="n"/>
      <c r="C689" s="1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" customHeight="1">
      <c r="A690" s="9" t="n"/>
      <c r="B690" s="19" t="n"/>
      <c r="C690" s="1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" customHeight="1">
      <c r="A691" s="9" t="n"/>
      <c r="B691" s="19" t="n"/>
      <c r="C691" s="1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" customHeight="1">
      <c r="A692" s="9" t="n"/>
      <c r="B692" s="19" t="n"/>
      <c r="C692" s="1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" customHeight="1">
      <c r="A693" s="9" t="n"/>
      <c r="B693" s="19" t="n"/>
      <c r="C693" s="1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" customHeight="1">
      <c r="A694" s="9" t="n"/>
      <c r="B694" s="19" t="n"/>
      <c r="C694" s="1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" customHeight="1">
      <c r="A695" s="9" t="n"/>
      <c r="B695" s="19" t="n"/>
      <c r="C695" s="1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" customHeight="1">
      <c r="A696" s="9" t="n"/>
      <c r="B696" s="19" t="n"/>
      <c r="C696" s="1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" customHeight="1">
      <c r="A697" s="9" t="n"/>
      <c r="B697" s="19" t="n"/>
      <c r="C697" s="1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" customHeight="1">
      <c r="A698" s="9" t="n"/>
      <c r="B698" s="19" t="n"/>
      <c r="C698" s="1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" customHeight="1">
      <c r="A699" s="9" t="n"/>
      <c r="B699" s="19" t="n"/>
      <c r="C699" s="1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" customHeight="1">
      <c r="A700" s="9" t="n"/>
      <c r="B700" s="19" t="n"/>
      <c r="C700" s="1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" customHeight="1">
      <c r="A701" s="9" t="n"/>
      <c r="B701" s="19" t="n"/>
      <c r="C701" s="1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" customHeight="1">
      <c r="A702" s="9" t="n"/>
      <c r="B702" s="19" t="n"/>
      <c r="C702" s="1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" customHeight="1">
      <c r="A703" s="9" t="n"/>
      <c r="B703" s="19" t="n"/>
      <c r="C703" s="1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" customHeight="1">
      <c r="A704" s="9" t="n"/>
      <c r="B704" s="19" t="n"/>
      <c r="C704" s="1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" customHeight="1">
      <c r="A705" s="9" t="n"/>
      <c r="B705" s="19" t="n"/>
      <c r="C705" s="1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" customHeight="1">
      <c r="A706" s="9" t="n"/>
      <c r="B706" s="19" t="n"/>
      <c r="C706" s="1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" customHeight="1">
      <c r="A707" s="9" t="n"/>
      <c r="B707" s="19" t="n"/>
      <c r="C707" s="1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" customHeight="1">
      <c r="A708" s="9" t="n"/>
      <c r="B708" s="19" t="n"/>
      <c r="C708" s="1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" customHeight="1">
      <c r="A709" s="9" t="n"/>
      <c r="B709" s="19" t="n"/>
      <c r="C709" s="1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" customHeight="1">
      <c r="A710" s="9" t="n"/>
      <c r="B710" s="19" t="n"/>
      <c r="C710" s="1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" customHeight="1">
      <c r="A711" s="9" t="n"/>
      <c r="B711" s="19" t="n"/>
      <c r="C711" s="1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" customHeight="1">
      <c r="A712" s="9" t="n"/>
      <c r="B712" s="19" t="n"/>
      <c r="C712" s="1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" customHeight="1">
      <c r="A713" s="9" t="n"/>
      <c r="B713" s="19" t="n"/>
      <c r="C713" s="1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" customHeight="1">
      <c r="A714" s="9" t="n"/>
      <c r="B714" s="19" t="n"/>
      <c r="C714" s="1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" customHeight="1">
      <c r="A715" s="9" t="n"/>
      <c r="B715" s="19" t="n"/>
      <c r="C715" s="1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" customHeight="1">
      <c r="A716" s="9" t="n"/>
      <c r="B716" s="19" t="n"/>
      <c r="C716" s="1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" customHeight="1">
      <c r="A717" s="9" t="n"/>
      <c r="B717" s="19" t="n"/>
      <c r="C717" s="1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" customHeight="1">
      <c r="A718" s="9" t="n"/>
      <c r="B718" s="19" t="n"/>
      <c r="C718" s="1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" customHeight="1">
      <c r="A719" s="9" t="n"/>
      <c r="B719" s="19" t="n"/>
      <c r="C719" s="1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" customHeight="1">
      <c r="A720" s="9" t="n"/>
      <c r="B720" s="19" t="n"/>
      <c r="C720" s="1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" customHeight="1">
      <c r="A721" s="9" t="n"/>
      <c r="B721" s="19" t="n"/>
      <c r="C721" s="1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" customHeight="1">
      <c r="A722" s="9" t="n"/>
      <c r="B722" s="19" t="n"/>
      <c r="C722" s="1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" customHeight="1">
      <c r="A723" s="9" t="n"/>
      <c r="B723" s="19" t="n"/>
      <c r="C723" s="1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" customHeight="1">
      <c r="A724" s="9" t="n"/>
      <c r="B724" s="19" t="n"/>
      <c r="C724" s="1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" customHeight="1">
      <c r="A725" s="9" t="n"/>
      <c r="B725" s="19" t="n"/>
      <c r="C725" s="1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" customHeight="1">
      <c r="A726" s="9" t="n"/>
      <c r="B726" s="19" t="n"/>
      <c r="C726" s="1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" customHeight="1">
      <c r="A727" s="9" t="n"/>
      <c r="B727" s="19" t="n"/>
      <c r="C727" s="1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" customHeight="1">
      <c r="A728" s="9" t="n"/>
      <c r="B728" s="19" t="n"/>
      <c r="C728" s="1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" customHeight="1">
      <c r="A729" s="9" t="n"/>
      <c r="B729" s="19" t="n"/>
      <c r="C729" s="1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" customHeight="1">
      <c r="A730" s="9" t="n"/>
      <c r="B730" s="19" t="n"/>
      <c r="C730" s="1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" customHeight="1">
      <c r="A731" s="9" t="n"/>
      <c r="B731" s="19" t="n"/>
      <c r="C731" s="1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" customHeight="1">
      <c r="A732" s="9" t="n"/>
      <c r="B732" s="19" t="n"/>
      <c r="C732" s="1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" customHeight="1">
      <c r="A733" s="9" t="n"/>
      <c r="B733" s="19" t="n"/>
      <c r="C733" s="1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" customHeight="1">
      <c r="A734" s="9" t="n"/>
      <c r="B734" s="19" t="n"/>
      <c r="C734" s="1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" customHeight="1">
      <c r="A735" s="9" t="n"/>
      <c r="B735" s="19" t="n"/>
      <c r="C735" s="1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" customHeight="1">
      <c r="A736" s="9" t="n"/>
      <c r="B736" s="19" t="n"/>
      <c r="C736" s="1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" customHeight="1">
      <c r="A737" s="9" t="n"/>
      <c r="B737" s="19" t="n"/>
      <c r="C737" s="1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" customHeight="1">
      <c r="A738" s="9" t="n"/>
      <c r="B738" s="19" t="n"/>
      <c r="C738" s="1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" customHeight="1">
      <c r="A739" s="9" t="n"/>
      <c r="B739" s="19" t="n"/>
      <c r="C739" s="1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" customHeight="1">
      <c r="A740" s="9" t="n"/>
      <c r="B740" s="19" t="n"/>
      <c r="C740" s="1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" customHeight="1">
      <c r="A741" s="9" t="n"/>
      <c r="B741" s="19" t="n"/>
      <c r="C741" s="1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" customHeight="1">
      <c r="A742" s="9" t="n"/>
      <c r="B742" s="19" t="n"/>
      <c r="C742" s="1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" customHeight="1">
      <c r="A743" s="9" t="n"/>
      <c r="B743" s="19" t="n"/>
      <c r="C743" s="1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" customHeight="1">
      <c r="A744" s="9" t="n"/>
      <c r="B744" s="19" t="n"/>
      <c r="C744" s="1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" customHeight="1">
      <c r="A745" s="9" t="n"/>
      <c r="B745" s="19" t="n"/>
      <c r="C745" s="1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" customHeight="1">
      <c r="A746" s="9" t="n"/>
      <c r="B746" s="19" t="n"/>
      <c r="C746" s="1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" customHeight="1">
      <c r="A747" s="9" t="n"/>
      <c r="B747" s="19" t="n"/>
      <c r="C747" s="1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" customHeight="1">
      <c r="A748" s="9" t="n"/>
      <c r="B748" s="19" t="n"/>
      <c r="C748" s="1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" customHeight="1">
      <c r="A749" s="9" t="n"/>
      <c r="B749" s="19" t="n"/>
      <c r="C749" s="1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" customHeight="1">
      <c r="A750" s="9" t="n"/>
      <c r="B750" s="19" t="n"/>
      <c r="C750" s="1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" customHeight="1">
      <c r="A751" s="9" t="n"/>
      <c r="B751" s="19" t="n"/>
      <c r="C751" s="1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" customHeight="1">
      <c r="A752" s="9" t="n"/>
      <c r="B752" s="19" t="n"/>
      <c r="C752" s="1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" customHeight="1">
      <c r="A753" s="9" t="n"/>
      <c r="B753" s="19" t="n"/>
      <c r="C753" s="1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" customHeight="1">
      <c r="A754" s="9" t="n"/>
      <c r="B754" s="19" t="n"/>
      <c r="C754" s="1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" customHeight="1">
      <c r="A755" s="9" t="n"/>
      <c r="B755" s="19" t="n"/>
      <c r="C755" s="1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" customHeight="1">
      <c r="A756" s="9" t="n"/>
      <c r="B756" s="19" t="n"/>
      <c r="C756" s="1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" customHeight="1">
      <c r="A757" s="9" t="n"/>
      <c r="B757" s="19" t="n"/>
      <c r="C757" s="1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" customHeight="1">
      <c r="A758" s="9" t="n"/>
      <c r="B758" s="19" t="n"/>
      <c r="C758" s="1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" customHeight="1">
      <c r="A759" s="9" t="n"/>
      <c r="B759" s="19" t="n"/>
      <c r="C759" s="1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" customHeight="1">
      <c r="A760" s="9" t="n"/>
      <c r="B760" s="19" t="n"/>
      <c r="C760" s="1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" customHeight="1">
      <c r="A761" s="9" t="n"/>
      <c r="B761" s="19" t="n"/>
      <c r="C761" s="1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" customHeight="1">
      <c r="A762" s="9" t="n"/>
      <c r="B762" s="19" t="n"/>
      <c r="C762" s="1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" customHeight="1">
      <c r="A763" s="9" t="n"/>
      <c r="B763" s="19" t="n"/>
      <c r="C763" s="1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" customHeight="1">
      <c r="A764" s="9" t="n"/>
      <c r="B764" s="19" t="n"/>
      <c r="C764" s="1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" customHeight="1">
      <c r="A765" s="9" t="n"/>
      <c r="B765" s="19" t="n"/>
      <c r="C765" s="1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" customHeight="1">
      <c r="A766" s="9" t="n"/>
      <c r="B766" s="19" t="n"/>
      <c r="C766" s="1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" customHeight="1">
      <c r="A767" s="9" t="n"/>
      <c r="B767" s="19" t="n"/>
      <c r="C767" s="1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" customHeight="1">
      <c r="A768" s="9" t="n"/>
      <c r="B768" s="19" t="n"/>
      <c r="C768" s="1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" customHeight="1">
      <c r="A769" s="9" t="n"/>
      <c r="B769" s="19" t="n"/>
      <c r="C769" s="1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" customHeight="1">
      <c r="A770" s="9" t="n"/>
      <c r="B770" s="19" t="n"/>
      <c r="C770" s="1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" customHeight="1">
      <c r="A771" s="9" t="n"/>
      <c r="B771" s="19" t="n"/>
      <c r="C771" s="1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" customHeight="1">
      <c r="A772" s="9" t="n"/>
      <c r="B772" s="19" t="n"/>
      <c r="C772" s="1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" customHeight="1">
      <c r="A773" s="9" t="n"/>
      <c r="B773" s="19" t="n"/>
      <c r="C773" s="1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" customHeight="1">
      <c r="A774" s="9" t="n"/>
      <c r="B774" s="19" t="n"/>
      <c r="C774" s="1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" customHeight="1">
      <c r="A775" s="9" t="n"/>
      <c r="B775" s="19" t="n"/>
      <c r="C775" s="1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" customHeight="1">
      <c r="A776" s="9" t="n"/>
      <c r="B776" s="19" t="n"/>
      <c r="C776" s="1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" customHeight="1">
      <c r="A777" s="9" t="n"/>
      <c r="B777" s="19" t="n"/>
      <c r="C777" s="1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" customHeight="1">
      <c r="A778" s="9" t="n"/>
      <c r="B778" s="19" t="n"/>
      <c r="C778" s="1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" customHeight="1">
      <c r="A779" s="9" t="n"/>
      <c r="B779" s="19" t="n"/>
      <c r="C779" s="1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" customHeight="1">
      <c r="A780" s="9" t="n"/>
      <c r="B780" s="19" t="n"/>
      <c r="C780" s="1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" customHeight="1">
      <c r="A781" s="9" t="n"/>
      <c r="B781" s="19" t="n"/>
      <c r="C781" s="1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" customHeight="1">
      <c r="A782" s="9" t="n"/>
      <c r="B782" s="19" t="n"/>
      <c r="C782" s="1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" customHeight="1">
      <c r="A783" s="9" t="n"/>
      <c r="B783" s="19" t="n"/>
      <c r="C783" s="1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" customHeight="1">
      <c r="A784" s="9" t="n"/>
      <c r="B784" s="19" t="n"/>
      <c r="C784" s="1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" customHeight="1">
      <c r="A785" s="9" t="n"/>
      <c r="B785" s="19" t="n"/>
      <c r="C785" s="1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" customHeight="1">
      <c r="A786" s="9" t="n"/>
      <c r="B786" s="19" t="n"/>
      <c r="C786" s="1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" customHeight="1">
      <c r="A787" s="9" t="n"/>
      <c r="B787" s="19" t="n"/>
      <c r="C787" s="1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" customHeight="1">
      <c r="A788" s="9" t="n"/>
      <c r="B788" s="19" t="n"/>
      <c r="C788" s="1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" customHeight="1">
      <c r="A789" s="9" t="n"/>
      <c r="B789" s="19" t="n"/>
      <c r="C789" s="1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" customHeight="1">
      <c r="A790" s="9" t="n"/>
      <c r="B790" s="19" t="n"/>
      <c r="C790" s="1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" customHeight="1">
      <c r="A791" s="9" t="n"/>
      <c r="B791" s="19" t="n"/>
      <c r="C791" s="1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" customHeight="1">
      <c r="A792" s="9" t="n"/>
      <c r="B792" s="19" t="n"/>
      <c r="C792" s="1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" customHeight="1">
      <c r="A793" s="9" t="n"/>
      <c r="B793" s="19" t="n"/>
      <c r="C793" s="1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" customHeight="1">
      <c r="A794" s="9" t="n"/>
      <c r="B794" s="19" t="n"/>
      <c r="C794" s="1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" customHeight="1">
      <c r="A795" s="9" t="n"/>
      <c r="B795" s="19" t="n"/>
      <c r="C795" s="1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" customHeight="1">
      <c r="A796" s="9" t="n"/>
      <c r="B796" s="19" t="n"/>
      <c r="C796" s="1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" customHeight="1">
      <c r="A797" s="9" t="n"/>
      <c r="B797" s="19" t="n"/>
      <c r="C797" s="1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" customHeight="1">
      <c r="A798" s="9" t="n"/>
      <c r="B798" s="19" t="n"/>
      <c r="C798" s="1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" customHeight="1">
      <c r="A799" s="9" t="n"/>
      <c r="B799" s="19" t="n"/>
      <c r="C799" s="1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" customHeight="1">
      <c r="A800" s="9" t="n"/>
      <c r="B800" s="19" t="n"/>
      <c r="C800" s="1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" customHeight="1">
      <c r="A801" s="9" t="n"/>
      <c r="B801" s="19" t="n"/>
      <c r="C801" s="1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" customHeight="1">
      <c r="A802" s="9" t="n"/>
      <c r="B802" s="19" t="n"/>
      <c r="C802" s="1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" customHeight="1">
      <c r="A803" s="9" t="n"/>
      <c r="B803" s="19" t="n"/>
      <c r="C803" s="1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" customHeight="1">
      <c r="A804" s="9" t="n"/>
      <c r="B804" s="19" t="n"/>
      <c r="C804" s="1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" customHeight="1">
      <c r="A805" s="9" t="n"/>
      <c r="B805" s="19" t="n"/>
      <c r="C805" s="1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" customHeight="1">
      <c r="A806" s="9" t="n"/>
      <c r="B806" s="19" t="n"/>
      <c r="C806" s="1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" customHeight="1">
      <c r="A807" s="9" t="n"/>
      <c r="B807" s="19" t="n"/>
      <c r="C807" s="1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" customHeight="1">
      <c r="A808" s="9" t="n"/>
      <c r="B808" s="19" t="n"/>
      <c r="C808" s="1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" customHeight="1">
      <c r="A809" s="9" t="n"/>
      <c r="B809" s="19" t="n"/>
      <c r="C809" s="1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" customHeight="1">
      <c r="A810" s="9" t="n"/>
      <c r="B810" s="19" t="n"/>
      <c r="C810" s="1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" customHeight="1">
      <c r="A811" s="9" t="n"/>
      <c r="B811" s="19" t="n"/>
      <c r="C811" s="1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" customHeight="1">
      <c r="A812" s="9" t="n"/>
      <c r="B812" s="19" t="n"/>
      <c r="C812" s="1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" customHeight="1">
      <c r="A813" s="9" t="n"/>
      <c r="B813" s="19" t="n"/>
      <c r="C813" s="1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" customHeight="1">
      <c r="A814" s="9" t="n"/>
      <c r="B814" s="19" t="n"/>
      <c r="C814" s="1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" customHeight="1">
      <c r="A815" s="9" t="n"/>
      <c r="B815" s="19" t="n"/>
      <c r="C815" s="1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" customHeight="1">
      <c r="A816" s="9" t="n"/>
      <c r="B816" s="19" t="n"/>
      <c r="C816" s="1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" customHeight="1">
      <c r="A817" s="9" t="n"/>
      <c r="B817" s="19" t="n"/>
      <c r="C817" s="1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" customHeight="1">
      <c r="A818" s="9" t="n"/>
      <c r="B818" s="19" t="n"/>
      <c r="C818" s="1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" customHeight="1">
      <c r="A819" s="9" t="n"/>
      <c r="B819" s="19" t="n"/>
      <c r="C819" s="1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" customHeight="1">
      <c r="A820" s="9" t="n"/>
      <c r="B820" s="19" t="n"/>
      <c r="C820" s="1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" customHeight="1">
      <c r="A821" s="9" t="n"/>
      <c r="B821" s="19" t="n"/>
      <c r="C821" s="1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" customHeight="1">
      <c r="A822" s="9" t="n"/>
      <c r="B822" s="19" t="n"/>
      <c r="C822" s="1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" customHeight="1">
      <c r="A823" s="9" t="n"/>
      <c r="B823" s="19" t="n"/>
      <c r="C823" s="1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" customHeight="1">
      <c r="A824" s="9" t="n"/>
      <c r="B824" s="19" t="n"/>
      <c r="C824" s="1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" customHeight="1">
      <c r="A825" s="9" t="n"/>
      <c r="B825" s="19" t="n"/>
      <c r="C825" s="1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" customHeight="1">
      <c r="A826" s="9" t="n"/>
      <c r="B826" s="19" t="n"/>
      <c r="C826" s="1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" customHeight="1">
      <c r="A827" s="9" t="n"/>
      <c r="B827" s="19" t="n"/>
      <c r="C827" s="1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" customHeight="1">
      <c r="A828" s="9" t="n"/>
      <c r="B828" s="19" t="n"/>
      <c r="C828" s="1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" customHeight="1">
      <c r="A829" s="9" t="n"/>
      <c r="B829" s="19" t="n"/>
      <c r="C829" s="1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" customHeight="1">
      <c r="A830" s="9" t="n"/>
      <c r="B830" s="19" t="n"/>
      <c r="C830" s="1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" customHeight="1">
      <c r="A831" s="9" t="n"/>
      <c r="B831" s="19" t="n"/>
      <c r="C831" s="1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" customHeight="1">
      <c r="A832" s="9" t="n"/>
      <c r="B832" s="19" t="n"/>
      <c r="C832" s="1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" customHeight="1">
      <c r="A833" s="9" t="n"/>
      <c r="B833" s="19" t="n"/>
      <c r="C833" s="1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" customHeight="1">
      <c r="A834" s="9" t="n"/>
      <c r="B834" s="19" t="n"/>
      <c r="C834" s="1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" customHeight="1">
      <c r="A835" s="9" t="n"/>
      <c r="B835" s="19" t="n"/>
      <c r="C835" s="1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" customHeight="1">
      <c r="A836" s="9" t="n"/>
      <c r="B836" s="19" t="n"/>
      <c r="C836" s="1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" customHeight="1">
      <c r="A837" s="9" t="n"/>
      <c r="B837" s="19" t="n"/>
      <c r="C837" s="1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" customHeight="1">
      <c r="A838" s="9" t="n"/>
      <c r="B838" s="19" t="n"/>
      <c r="C838" s="1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" customHeight="1">
      <c r="A839" s="9" t="n"/>
      <c r="B839" s="19" t="n"/>
      <c r="C839" s="1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" customHeight="1">
      <c r="A840" s="9" t="n"/>
      <c r="B840" s="19" t="n"/>
      <c r="C840" s="1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" customHeight="1">
      <c r="A841" s="9" t="n"/>
      <c r="B841" s="19" t="n"/>
      <c r="C841" s="1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" customHeight="1">
      <c r="A842" s="9" t="n"/>
      <c r="B842" s="19" t="n"/>
      <c r="C842" s="1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" customHeight="1">
      <c r="A843" s="9" t="n"/>
      <c r="B843" s="19" t="n"/>
      <c r="C843" s="1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" customHeight="1">
      <c r="A844" s="9" t="n"/>
      <c r="B844" s="19" t="n"/>
      <c r="C844" s="1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" customHeight="1">
      <c r="A845" s="9" t="n"/>
      <c r="B845" s="19" t="n"/>
      <c r="C845" s="1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" customHeight="1">
      <c r="A846" s="9" t="n"/>
      <c r="B846" s="19" t="n"/>
      <c r="C846" s="1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" customHeight="1">
      <c r="A847" s="9" t="n"/>
      <c r="B847" s="19" t="n"/>
      <c r="C847" s="1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" customHeight="1">
      <c r="A848" s="9" t="n"/>
      <c r="B848" s="19" t="n"/>
      <c r="C848" s="1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" customHeight="1">
      <c r="A849" s="9" t="n"/>
      <c r="B849" s="19" t="n"/>
      <c r="C849" s="1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" customHeight="1">
      <c r="A850" s="9" t="n"/>
      <c r="B850" s="19" t="n"/>
      <c r="C850" s="1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" customHeight="1">
      <c r="A851" s="9" t="n"/>
      <c r="B851" s="19" t="n"/>
      <c r="C851" s="1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" customHeight="1">
      <c r="A852" s="9" t="n"/>
      <c r="B852" s="19" t="n"/>
      <c r="C852" s="1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" customHeight="1">
      <c r="A853" s="9" t="n"/>
      <c r="B853" s="19" t="n"/>
      <c r="C853" s="1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" customHeight="1">
      <c r="A854" s="9" t="n"/>
      <c r="B854" s="19" t="n"/>
      <c r="C854" s="1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" customHeight="1">
      <c r="A855" s="9" t="n"/>
      <c r="B855" s="19" t="n"/>
      <c r="C855" s="1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" customHeight="1">
      <c r="A856" s="9" t="n"/>
      <c r="B856" s="19" t="n"/>
      <c r="C856" s="1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" customHeight="1">
      <c r="A857" s="9" t="n"/>
      <c r="B857" s="19" t="n"/>
      <c r="C857" s="1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" customHeight="1">
      <c r="A858" s="9" t="n"/>
      <c r="B858" s="19" t="n"/>
      <c r="C858" s="1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" customHeight="1">
      <c r="A859" s="9" t="n"/>
      <c r="B859" s="19" t="n"/>
      <c r="C859" s="1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" customHeight="1">
      <c r="A860" s="9" t="n"/>
      <c r="B860" s="19" t="n"/>
      <c r="C860" s="1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" customHeight="1">
      <c r="A861" s="9" t="n"/>
      <c r="B861" s="19" t="n"/>
      <c r="C861" s="1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" customHeight="1">
      <c r="A862" s="9" t="n"/>
      <c r="B862" s="19" t="n"/>
      <c r="C862" s="1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" customHeight="1">
      <c r="A863" s="9" t="n"/>
      <c r="B863" s="19" t="n"/>
      <c r="C863" s="1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" customHeight="1">
      <c r="A864" s="9" t="n"/>
      <c r="B864" s="19" t="n"/>
      <c r="C864" s="1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" customHeight="1">
      <c r="A865" s="9" t="n"/>
      <c r="B865" s="19" t="n"/>
      <c r="C865" s="1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" customHeight="1">
      <c r="A866" s="9" t="n"/>
      <c r="B866" s="19" t="n"/>
      <c r="C866" s="1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" customHeight="1">
      <c r="A867" s="9" t="n"/>
      <c r="B867" s="19" t="n"/>
      <c r="C867" s="1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" customHeight="1">
      <c r="A868" s="9" t="n"/>
      <c r="B868" s="19" t="n"/>
      <c r="C868" s="1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" customHeight="1">
      <c r="A869" s="9" t="n"/>
      <c r="B869" s="19" t="n"/>
      <c r="C869" s="1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" customHeight="1">
      <c r="A870" s="9" t="n"/>
      <c r="B870" s="19" t="n"/>
      <c r="C870" s="1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" customHeight="1">
      <c r="A871" s="9" t="n"/>
      <c r="B871" s="19" t="n"/>
      <c r="C871" s="1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" customHeight="1">
      <c r="A872" s="9" t="n"/>
      <c r="B872" s="19" t="n"/>
      <c r="C872" s="1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" customHeight="1">
      <c r="A873" s="9" t="n"/>
      <c r="B873" s="19" t="n"/>
      <c r="C873" s="1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" customHeight="1">
      <c r="A874" s="9" t="n"/>
      <c r="B874" s="19" t="n"/>
      <c r="C874" s="1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" customHeight="1">
      <c r="A875" s="9" t="n"/>
      <c r="B875" s="19" t="n"/>
      <c r="C875" s="1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" customHeight="1">
      <c r="A876" s="9" t="n"/>
      <c r="B876" s="19" t="n"/>
      <c r="C876" s="1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" customHeight="1">
      <c r="A877" s="9" t="n"/>
      <c r="B877" s="19" t="n"/>
      <c r="C877" s="1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" customHeight="1">
      <c r="A878" s="9" t="n"/>
      <c r="B878" s="19" t="n"/>
      <c r="C878" s="1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" customHeight="1">
      <c r="A879" s="9" t="n"/>
      <c r="B879" s="19" t="n"/>
      <c r="C879" s="1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" customHeight="1">
      <c r="A880" s="9" t="n"/>
      <c r="B880" s="19" t="n"/>
      <c r="C880" s="1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" customHeight="1">
      <c r="A881" s="9" t="n"/>
      <c r="B881" s="19" t="n"/>
      <c r="C881" s="1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" customHeight="1">
      <c r="A882" s="9" t="n"/>
      <c r="B882" s="19" t="n"/>
      <c r="C882" s="1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" customHeight="1">
      <c r="A883" s="9" t="n"/>
      <c r="B883" s="19" t="n"/>
      <c r="C883" s="1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" customHeight="1">
      <c r="A884" s="9" t="n"/>
      <c r="B884" s="19" t="n"/>
      <c r="C884" s="1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" customHeight="1">
      <c r="A885" s="9" t="n"/>
      <c r="B885" s="19" t="n"/>
      <c r="C885" s="1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" customHeight="1">
      <c r="A886" s="9" t="n"/>
      <c r="B886" s="19" t="n"/>
      <c r="C886" s="1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" customHeight="1">
      <c r="A887" s="9" t="n"/>
      <c r="B887" s="19" t="n"/>
      <c r="C887" s="1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" customHeight="1">
      <c r="A888" s="9" t="n"/>
      <c r="B888" s="19" t="n"/>
      <c r="C888" s="1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" customHeight="1">
      <c r="A889" s="9" t="n"/>
      <c r="B889" s="19" t="n"/>
      <c r="C889" s="1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" customHeight="1">
      <c r="A890" s="9" t="n"/>
      <c r="B890" s="19" t="n"/>
      <c r="C890" s="1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" customHeight="1">
      <c r="A891" s="9" t="n"/>
      <c r="B891" s="19" t="n"/>
      <c r="C891" s="1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" customHeight="1">
      <c r="A892" s="9" t="n"/>
      <c r="B892" s="19" t="n"/>
      <c r="C892" s="1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" customHeight="1">
      <c r="A893" s="9" t="n"/>
      <c r="B893" s="19" t="n"/>
      <c r="C893" s="1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" customHeight="1">
      <c r="A894" s="9" t="n"/>
      <c r="B894" s="19" t="n"/>
      <c r="C894" s="1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" customHeight="1">
      <c r="A895" s="9" t="n"/>
      <c r="B895" s="19" t="n"/>
      <c r="C895" s="1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" customHeight="1">
      <c r="A896" s="9" t="n"/>
      <c r="B896" s="19" t="n"/>
      <c r="C896" s="1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" customHeight="1">
      <c r="A897" s="9" t="n"/>
      <c r="B897" s="19" t="n"/>
      <c r="C897" s="1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" customHeight="1">
      <c r="A898" s="9" t="n"/>
      <c r="B898" s="19" t="n"/>
      <c r="C898" s="1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" customHeight="1">
      <c r="A899" s="9" t="n"/>
      <c r="B899" s="19" t="n"/>
      <c r="C899" s="1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" customHeight="1">
      <c r="A900" s="9" t="n"/>
      <c r="B900" s="19" t="n"/>
      <c r="C900" s="1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" customHeight="1">
      <c r="A901" s="9" t="n"/>
      <c r="B901" s="19" t="n"/>
      <c r="C901" s="1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" customHeight="1">
      <c r="A902" s="9" t="n"/>
      <c r="B902" s="19" t="n"/>
      <c r="C902" s="1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" customHeight="1">
      <c r="A903" s="9" t="n"/>
      <c r="B903" s="19" t="n"/>
      <c r="C903" s="1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" customHeight="1">
      <c r="A904" s="9" t="n"/>
      <c r="B904" s="19" t="n"/>
      <c r="C904" s="1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" customHeight="1">
      <c r="A905" s="9" t="n"/>
      <c r="B905" s="19" t="n"/>
      <c r="C905" s="1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" customHeight="1">
      <c r="A906" s="9" t="n"/>
      <c r="B906" s="19" t="n"/>
      <c r="C906" s="1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" customHeight="1">
      <c r="A907" s="9" t="n"/>
      <c r="B907" s="19" t="n"/>
      <c r="C907" s="1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" customHeight="1">
      <c r="A908" s="9" t="n"/>
      <c r="B908" s="19" t="n"/>
      <c r="C908" s="1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" customHeight="1">
      <c r="A909" s="9" t="n"/>
      <c r="B909" s="19" t="n"/>
      <c r="C909" s="1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" customHeight="1">
      <c r="A910" s="9" t="n"/>
      <c r="B910" s="19" t="n"/>
      <c r="C910" s="1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" customHeight="1">
      <c r="A911" s="9" t="n"/>
      <c r="B911" s="19" t="n"/>
      <c r="C911" s="1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" customHeight="1">
      <c r="A912" s="9" t="n"/>
      <c r="B912" s="19" t="n"/>
      <c r="C912" s="1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" customHeight="1">
      <c r="A913" s="9" t="n"/>
      <c r="B913" s="19" t="n"/>
      <c r="C913" s="1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" customHeight="1">
      <c r="A914" s="9" t="n"/>
      <c r="B914" s="19" t="n"/>
      <c r="C914" s="1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" customHeight="1">
      <c r="A915" s="9" t="n"/>
      <c r="B915" s="19" t="n"/>
      <c r="C915" s="1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" customHeight="1">
      <c r="A916" s="9" t="n"/>
      <c r="B916" s="19" t="n"/>
      <c r="C916" s="1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" customHeight="1">
      <c r="A917" s="9" t="n"/>
      <c r="B917" s="19" t="n"/>
      <c r="C917" s="1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" customHeight="1">
      <c r="A918" s="9" t="n"/>
      <c r="B918" s="19" t="n"/>
      <c r="C918" s="1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" customHeight="1">
      <c r="A919" s="9" t="n"/>
      <c r="B919" s="19" t="n"/>
      <c r="C919" s="1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" customHeight="1">
      <c r="A920" s="9" t="n"/>
      <c r="B920" s="19" t="n"/>
      <c r="C920" s="1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" customHeight="1">
      <c r="A921" s="9" t="n"/>
      <c r="B921" s="19" t="n"/>
      <c r="C921" s="1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" customHeight="1">
      <c r="A922" s="9" t="n"/>
      <c r="B922" s="19" t="n"/>
      <c r="C922" s="1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" customHeight="1">
      <c r="A923" s="9" t="n"/>
      <c r="B923" s="19" t="n"/>
      <c r="C923" s="1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" customHeight="1">
      <c r="A924" s="9" t="n"/>
      <c r="B924" s="19" t="n"/>
      <c r="C924" s="1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" customHeight="1">
      <c r="A925" s="9" t="n"/>
      <c r="B925" s="19" t="n"/>
      <c r="C925" s="1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" customHeight="1">
      <c r="A926" s="9" t="n"/>
      <c r="B926" s="19" t="n"/>
      <c r="C926" s="1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" customHeight="1">
      <c r="A927" s="9" t="n"/>
      <c r="B927" s="19" t="n"/>
      <c r="C927" s="1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" customHeight="1">
      <c r="A928" s="9" t="n"/>
      <c r="B928" s="19" t="n"/>
      <c r="C928" s="1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" customHeight="1">
      <c r="A929" s="9" t="n"/>
      <c r="B929" s="19" t="n"/>
      <c r="C929" s="1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" customHeight="1">
      <c r="A930" s="9" t="n"/>
      <c r="B930" s="19" t="n"/>
      <c r="C930" s="1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" customHeight="1">
      <c r="A931" s="9" t="n"/>
      <c r="B931" s="19" t="n"/>
      <c r="C931" s="1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" customHeight="1">
      <c r="A932" s="9" t="n"/>
      <c r="B932" s="19" t="n"/>
      <c r="C932" s="1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" customHeight="1">
      <c r="A933" s="9" t="n"/>
      <c r="B933" s="19" t="n"/>
      <c r="C933" s="1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" customHeight="1">
      <c r="A934" s="9" t="n"/>
      <c r="B934" s="19" t="n"/>
      <c r="C934" s="1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" customHeight="1">
      <c r="A935" s="9" t="n"/>
      <c r="B935" s="19" t="n"/>
      <c r="C935" s="1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" customHeight="1">
      <c r="A936" s="9" t="n"/>
      <c r="B936" s="19" t="n"/>
      <c r="C936" s="1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" customHeight="1">
      <c r="A937" s="9" t="n"/>
      <c r="B937" s="19" t="n"/>
      <c r="C937" s="1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" customHeight="1">
      <c r="A938" s="9" t="n"/>
      <c r="B938" s="19" t="n"/>
      <c r="C938" s="1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" customHeight="1">
      <c r="A939" s="9" t="n"/>
      <c r="B939" s="19" t="n"/>
      <c r="C939" s="1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" customHeight="1">
      <c r="A940" s="9" t="n"/>
      <c r="B940" s="19" t="n"/>
      <c r="C940" s="1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" customHeight="1">
      <c r="A941" s="9" t="n"/>
      <c r="B941" s="19" t="n"/>
      <c r="C941" s="1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" customHeight="1">
      <c r="A942" s="9" t="n"/>
      <c r="B942" s="19" t="n"/>
      <c r="C942" s="1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" customHeight="1">
      <c r="A943" s="9" t="n"/>
      <c r="B943" s="19" t="n"/>
      <c r="C943" s="1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" customHeight="1">
      <c r="A944" s="9" t="n"/>
      <c r="B944" s="19" t="n"/>
      <c r="C944" s="1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" customHeight="1">
      <c r="A945" s="9" t="n"/>
      <c r="B945" s="19" t="n"/>
      <c r="C945" s="1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" customHeight="1">
      <c r="A946" s="9" t="n"/>
      <c r="B946" s="19" t="n"/>
      <c r="C946" s="1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" customHeight="1">
      <c r="A947" s="9" t="n"/>
      <c r="B947" s="19" t="n"/>
      <c r="C947" s="1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" customHeight="1">
      <c r="A948" s="9" t="n"/>
      <c r="B948" s="19" t="n"/>
      <c r="C948" s="1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" customHeight="1">
      <c r="A949" s="9" t="n"/>
      <c r="B949" s="19" t="n"/>
      <c r="C949" s="1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" customHeight="1">
      <c r="A950" s="9" t="n"/>
      <c r="B950" s="19" t="n"/>
      <c r="C950" s="1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" customHeight="1">
      <c r="A951" s="9" t="n"/>
      <c r="B951" s="19" t="n"/>
      <c r="C951" s="1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" customHeight="1">
      <c r="A952" s="9" t="n"/>
      <c r="B952" s="19" t="n"/>
      <c r="C952" s="1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" customHeight="1">
      <c r="A953" s="9" t="n"/>
      <c r="B953" s="19" t="n"/>
      <c r="C953" s="1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" customHeight="1">
      <c r="A954" s="9" t="n"/>
      <c r="B954" s="19" t="n"/>
      <c r="C954" s="1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" customHeight="1">
      <c r="A955" s="9" t="n"/>
      <c r="B955" s="19" t="n"/>
      <c r="C955" s="1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" customHeight="1">
      <c r="A956" s="9" t="n"/>
      <c r="B956" s="19" t="n"/>
      <c r="C956" s="1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" customHeight="1">
      <c r="A957" s="9" t="n"/>
      <c r="B957" s="19" t="n"/>
      <c r="C957" s="1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" customHeight="1">
      <c r="A958" s="9" t="n"/>
      <c r="B958" s="19" t="n"/>
      <c r="C958" s="1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" customHeight="1">
      <c r="A959" s="9" t="n"/>
      <c r="B959" s="19" t="n"/>
      <c r="C959" s="1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" customHeight="1">
      <c r="A960" s="9" t="n"/>
      <c r="B960" s="19" t="n"/>
      <c r="C960" s="1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" customHeight="1">
      <c r="A961" s="9" t="n"/>
      <c r="B961" s="19" t="n"/>
      <c r="C961" s="1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" customHeight="1">
      <c r="A962" s="9" t="n"/>
      <c r="B962" s="19" t="n"/>
      <c r="C962" s="1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" customHeight="1">
      <c r="A963" s="9" t="n"/>
      <c r="B963" s="19" t="n"/>
      <c r="C963" s="1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" customHeight="1">
      <c r="A964" s="9" t="n"/>
      <c r="B964" s="19" t="n"/>
      <c r="C964" s="1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" customHeight="1">
      <c r="A965" s="9" t="n"/>
      <c r="B965" s="19" t="n"/>
      <c r="C965" s="1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" customHeight="1">
      <c r="A966" s="9" t="n"/>
      <c r="B966" s="19" t="n"/>
      <c r="C966" s="1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" customHeight="1">
      <c r="A967" s="9" t="n"/>
      <c r="B967" s="19" t="n"/>
      <c r="C967" s="1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" customHeight="1">
      <c r="A968" s="9" t="n"/>
      <c r="B968" s="19" t="n"/>
      <c r="C968" s="1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" customHeight="1">
      <c r="A969" s="9" t="n"/>
      <c r="B969" s="19" t="n"/>
      <c r="C969" s="1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" customHeight="1">
      <c r="A970" s="9" t="n"/>
      <c r="B970" s="19" t="n"/>
      <c r="C970" s="1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" customHeight="1">
      <c r="A971" s="9" t="n"/>
      <c r="B971" s="19" t="n"/>
      <c r="C971" s="1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" customHeight="1">
      <c r="A972" s="9" t="n"/>
      <c r="B972" s="19" t="n"/>
      <c r="C972" s="1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" customHeight="1">
      <c r="A973" s="9" t="n"/>
      <c r="B973" s="19" t="n"/>
      <c r="C973" s="1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" customHeight="1">
      <c r="A974" s="9" t="n"/>
      <c r="B974" s="19" t="n"/>
      <c r="C974" s="1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" customHeight="1">
      <c r="A975" s="9" t="n"/>
      <c r="B975" s="19" t="n"/>
      <c r="C975" s="1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" customHeight="1">
      <c r="A976" s="9" t="n"/>
      <c r="B976" s="19" t="n"/>
      <c r="C976" s="1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" customHeight="1">
      <c r="A977" s="9" t="n"/>
      <c r="B977" s="19" t="n"/>
      <c r="C977" s="1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" customHeight="1">
      <c r="A978" s="9" t="n"/>
      <c r="B978" s="19" t="n"/>
      <c r="C978" s="1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" customHeight="1">
      <c r="A979" s="9" t="n"/>
      <c r="B979" s="19" t="n"/>
      <c r="C979" s="1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" customHeight="1">
      <c r="A980" s="9" t="n"/>
      <c r="B980" s="19" t="n"/>
      <c r="C980" s="1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" customHeight="1">
      <c r="A981" s="9" t="n"/>
      <c r="B981" s="19" t="n"/>
      <c r="C981" s="1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" customHeight="1">
      <c r="A982" s="9" t="n"/>
      <c r="B982" s="19" t="n"/>
      <c r="C982" s="1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" customHeight="1">
      <c r="A983" s="9" t="n"/>
      <c r="B983" s="19" t="n"/>
      <c r="C983" s="1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" customHeight="1">
      <c r="A984" s="9" t="n"/>
      <c r="B984" s="19" t="n"/>
      <c r="C984" s="1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" customHeight="1">
      <c r="A985" s="9" t="n"/>
      <c r="B985" s="19" t="n"/>
      <c r="C985" s="1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" customHeight="1">
      <c r="A986" s="9" t="n"/>
      <c r="B986" s="19" t="n"/>
      <c r="C986" s="1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" customHeight="1">
      <c r="A987" s="9" t="n"/>
      <c r="B987" s="19" t="n"/>
      <c r="C987" s="1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" customHeight="1">
      <c r="A988" s="9" t="n"/>
      <c r="B988" s="19" t="n"/>
      <c r="C988" s="1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" customHeight="1">
      <c r="A989" s="9" t="n"/>
      <c r="B989" s="19" t="n"/>
      <c r="C989" s="1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" customHeight="1">
      <c r="A990" s="9" t="n"/>
      <c r="B990" s="19" t="n"/>
      <c r="C990" s="1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" customHeight="1">
      <c r="A991" s="9" t="n"/>
      <c r="B991" s="19" t="n"/>
      <c r="C991" s="1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" customHeight="1">
      <c r="A992" s="9" t="n"/>
      <c r="B992" s="19" t="n"/>
      <c r="C992" s="1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" customHeight="1">
      <c r="A993" s="9" t="n"/>
      <c r="B993" s="19" t="n"/>
      <c r="C993" s="1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" customHeight="1">
      <c r="A994" s="9" t="n"/>
      <c r="B994" s="19" t="n"/>
      <c r="C994" s="1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" customHeight="1">
      <c r="A995" s="9" t="n"/>
      <c r="B995" s="19" t="n"/>
      <c r="C995" s="1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" customHeight="1">
      <c r="A996" s="9" t="n"/>
      <c r="B996" s="19" t="n"/>
      <c r="C996" s="1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" customHeight="1">
      <c r="A997" s="9" t="n"/>
      <c r="B997" s="19" t="n"/>
      <c r="C997" s="1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" customHeight="1">
      <c r="A998" s="9" t="n"/>
      <c r="B998" s="19" t="n"/>
      <c r="C998" s="1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" customHeight="1">
      <c r="A999" s="9" t="n"/>
      <c r="B999" s="19" t="n"/>
      <c r="C999" s="1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" customHeight="1">
      <c r="A1000" s="9" t="n"/>
      <c r="B1000" s="19" t="n"/>
      <c r="C1000" s="1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pageMargins left="0.7" right="0.7" top="0.75" bottom="0.75" header="0" footer="0"/>
  <pageSetup orientation="portrait" scale="47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Z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2578125" defaultRowHeight="15" customHeight="1"/>
  <cols>
    <col width="44.28515625" customWidth="1" min="1" max="1"/>
    <col width="8.28515625" customWidth="1" min="2" max="3"/>
    <col width="8.7109375" customWidth="1" min="4" max="26"/>
  </cols>
  <sheetData>
    <row r="1" ht="12" customHeight="1">
      <c r="A1" s="18">
        <f>CompanyName</f>
        <v/>
      </c>
      <c r="B1" s="19" t="n"/>
      <c r="C1" s="1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2" customHeight="1">
      <c r="A2" s="20" t="inlineStr">
        <is>
          <t>Balance Sheet</t>
        </is>
      </c>
      <c r="B2" s="19" t="n"/>
      <c r="C2" s="21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2" customHeight="1">
      <c r="A3" s="9" t="n"/>
      <c r="B3" s="22">
        <f>IF(B$4&lt;=FinancialYearEnd,"Actual","Forecast")</f>
        <v/>
      </c>
      <c r="C3" s="22">
        <f>IF(C$4&lt;=FinancialYearEnd,"Actual","Forecast")</f>
        <v/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2" customHeight="1">
      <c r="A4" s="23">
        <f>'P. Input'!$D$7</f>
        <v/>
      </c>
      <c r="B4" s="24">
        <f>EDATE(FinancialYearEnd,-12*NumPriorAnnualReportsRecorded)</f>
        <v/>
      </c>
      <c r="C4" s="24">
        <f>EDATE(B4,12)</f>
        <v/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2" customHeight="1">
      <c r="A5" s="39" t="inlineStr">
        <is>
          <t>Assets</t>
        </is>
      </c>
      <c r="B5" s="48" t="n"/>
      <c r="C5" s="48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2" customHeight="1">
      <c r="A6" s="9" t="n"/>
      <c r="B6" s="19" t="n"/>
      <c r="C6" s="1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" customHeight="1">
      <c r="A7" s="49" t="inlineStr">
        <is>
          <t>Non-Current Assets</t>
        </is>
      </c>
      <c r="B7" s="50" t="n"/>
      <c r="C7" s="50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2" customHeight="1">
      <c r="A8" s="27" t="inlineStr">
        <is>
          <t>Operating lease vehicles, net</t>
        </is>
      </c>
      <c r="B8" s="26" t="n">
        <v>3091</v>
      </c>
      <c r="C8" s="26" t="n">
        <v>4511</v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" customHeight="1">
      <c r="A9" s="27" t="inlineStr">
        <is>
          <t>Solar energy systems, net</t>
        </is>
      </c>
      <c r="B9" s="26" t="n">
        <v>5979</v>
      </c>
      <c r="C9" s="26" t="n">
        <v>5765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2" customHeight="1">
      <c r="A10" s="27" t="inlineStr">
        <is>
          <t>Property, plant and equipment, net</t>
        </is>
      </c>
      <c r="B10" s="26" t="n">
        <v>12747</v>
      </c>
      <c r="C10" s="26" t="n">
        <v>18884</v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12" customHeight="1">
      <c r="A11" s="27" t="inlineStr">
        <is>
          <t>Operating lease right-of-use assets</t>
        </is>
      </c>
      <c r="B11" s="26" t="n">
        <v>1558</v>
      </c>
      <c r="C11" s="26" t="n">
        <v>2016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12" customHeight="1">
      <c r="A12" s="27" t="inlineStr">
        <is>
          <t>Digital assets, net</t>
        </is>
      </c>
      <c r="B12" s="26" t="n">
        <v>0</v>
      </c>
      <c r="C12" s="26" t="n">
        <v>1260</v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12" customHeight="1">
      <c r="A13" s="27" t="inlineStr">
        <is>
          <t>Intangible assets, net</t>
        </is>
      </c>
      <c r="B13" s="26" t="n">
        <v>313</v>
      </c>
      <c r="C13" s="26" t="n">
        <v>257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2" customHeight="1">
      <c r="A14" s="27" t="inlineStr">
        <is>
          <t>Goodwill</t>
        </is>
      </c>
      <c r="B14" s="26" t="n">
        <v>207</v>
      </c>
      <c r="C14" s="26" t="n">
        <v>200</v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2" customHeight="1">
      <c r="A15" s="27" t="inlineStr">
        <is>
          <t>Other non-current assets</t>
        </is>
      </c>
      <c r="B15" s="26" t="n">
        <v>1536</v>
      </c>
      <c r="C15" s="26" t="n">
        <v>2138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2" customHeight="1">
      <c r="A16" s="34" t="inlineStr">
        <is>
          <t>Total Non-Current Assets</t>
        </is>
      </c>
      <c r="B16" s="45">
        <f>SUM(B8:B15)</f>
        <v/>
      </c>
      <c r="C16" s="45">
        <f>SUM(C8:C15)</f>
        <v/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2" customHeight="1">
      <c r="A17" s="9" t="n"/>
      <c r="B17" s="22" t="n"/>
      <c r="C17" s="22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2" customHeight="1">
      <c r="A18" s="49" t="inlineStr">
        <is>
          <t>Current Assets</t>
        </is>
      </c>
      <c r="B18" s="50" t="n"/>
      <c r="C18" s="50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2" customHeight="1">
      <c r="A19" s="32" t="inlineStr">
        <is>
          <t>Cash and cash equivalents</t>
        </is>
      </c>
      <c r="B19" s="26" t="n">
        <v>19384</v>
      </c>
      <c r="C19" s="26" t="n">
        <v>17576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" customHeight="1">
      <c r="A20" s="27" t="inlineStr">
        <is>
          <t>Short-term marketable securities</t>
        </is>
      </c>
      <c r="B20" s="26" t="n">
        <v>0</v>
      </c>
      <c r="C20" s="26" t="n">
        <v>131</v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" customHeight="1">
      <c r="A21" s="27" t="inlineStr">
        <is>
          <t>Accounts receivable, net</t>
        </is>
      </c>
      <c r="B21" s="26" t="n">
        <v>1886</v>
      </c>
      <c r="C21" s="26" t="n">
        <v>1913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" customHeight="1">
      <c r="A22" s="27" t="inlineStr">
        <is>
          <t>Inventories</t>
        </is>
      </c>
      <c r="B22" s="26" t="n">
        <v>4101</v>
      </c>
      <c r="C22" s="26" t="n">
        <v>5757</v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" customHeight="1">
      <c r="A23" s="27" t="inlineStr">
        <is>
          <t>Prepaid expenses and other current assets</t>
        </is>
      </c>
      <c r="B23" s="26" t="n">
        <v>1346</v>
      </c>
      <c r="C23" s="26" t="n">
        <v>1723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" customHeight="1">
      <c r="A24" s="34" t="inlineStr">
        <is>
          <t>Total Current Assets</t>
        </is>
      </c>
      <c r="B24" s="45">
        <f>SUM(B19:B23)</f>
        <v/>
      </c>
      <c r="C24" s="45">
        <f>SUM(C19:C23)</f>
        <v/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2" customHeight="1">
      <c r="A25" s="9" t="n"/>
      <c r="B25" s="38" t="n"/>
      <c r="C25" s="38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" customHeight="1">
      <c r="A26" s="36" t="inlineStr">
        <is>
          <t>Total Assets</t>
        </is>
      </c>
      <c r="B26" s="37">
        <f>B16+B24</f>
        <v/>
      </c>
      <c r="C26" s="37">
        <f>C16+C24</f>
        <v/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2" customHeight="1">
      <c r="A27" s="9" t="n"/>
      <c r="B27" s="19" t="n"/>
      <c r="C27" s="1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" customHeight="1">
      <c r="A28" s="39" t="inlineStr">
        <is>
          <t>Liabilities &amp; Equity</t>
        </is>
      </c>
      <c r="B28" s="48" t="n"/>
      <c r="C28" s="48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2" customHeight="1">
      <c r="A29" s="9" t="n"/>
      <c r="B29" s="38" t="n"/>
      <c r="C29" s="38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" customHeight="1">
      <c r="A30" s="39" t="inlineStr">
        <is>
          <t>Liabilities</t>
        </is>
      </c>
      <c r="B30" s="40" t="n"/>
      <c r="C30" s="40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2" customHeight="1">
      <c r="A31" s="9" t="n"/>
      <c r="B31" s="38" t="n"/>
      <c r="C31" s="38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" customHeight="1">
      <c r="A32" s="49" t="inlineStr">
        <is>
          <t>Current Liabilities</t>
        </is>
      </c>
      <c r="B32" s="50" t="n"/>
      <c r="C32" s="50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2" customHeight="1">
      <c r="A33" s="27" t="inlineStr">
        <is>
          <t>Accounts payable</t>
        </is>
      </c>
      <c r="B33" s="26" t="n">
        <v>6051</v>
      </c>
      <c r="C33" s="26" t="n">
        <v>10025</v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" customHeight="1">
      <c r="A34" s="27" t="inlineStr">
        <is>
          <t>Accrued liabilities and other</t>
        </is>
      </c>
      <c r="B34" s="26" t="n">
        <v>3855</v>
      </c>
      <c r="C34" s="26" t="n">
        <v>5719</v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" customHeight="1">
      <c r="A35" s="27" t="inlineStr">
        <is>
          <t>Deferred revenue</t>
        </is>
      </c>
      <c r="B35" s="26" t="n">
        <v>1458</v>
      </c>
      <c r="C35" s="26" t="n">
        <v>1447</v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" customHeight="1">
      <c r="A36" s="27" t="inlineStr">
        <is>
          <t>Customer deposits</t>
        </is>
      </c>
      <c r="B36" s="26" t="n">
        <v>752</v>
      </c>
      <c r="C36" s="26" t="n">
        <v>925</v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" customHeight="1">
      <c r="A37" s="27" t="inlineStr">
        <is>
          <t>Current portion of debt and finance leases</t>
        </is>
      </c>
      <c r="B37" s="26" t="n">
        <v>2132</v>
      </c>
      <c r="C37" s="26" t="n">
        <v>1589</v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" customHeight="1">
      <c r="A38" s="34" t="inlineStr">
        <is>
          <t>Total Current Liabilities</t>
        </is>
      </c>
      <c r="B38" s="45">
        <f>SUM(B33:B37)</f>
        <v/>
      </c>
      <c r="C38" s="45">
        <f>SUM(C33:C37)</f>
        <v/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2" customHeight="1">
      <c r="A39" s="9" t="n"/>
      <c r="B39" s="38" t="n"/>
      <c r="C39" s="38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" customHeight="1">
      <c r="A40" s="49" t="inlineStr">
        <is>
          <t>Non-Current Liabilities</t>
        </is>
      </c>
      <c r="B40" s="50" t="n"/>
      <c r="C40" s="50" t="n"/>
      <c r="D40" s="9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2" customHeight="1">
      <c r="A41" s="27" t="inlineStr">
        <is>
          <t>Debt and finance leases, net of current portion</t>
        </is>
      </c>
      <c r="B41" s="26" t="n">
        <v>9556</v>
      </c>
      <c r="C41" s="26" t="n">
        <v>5245</v>
      </c>
      <c r="D41" s="72" t="n"/>
      <c r="E41" s="72" t="n"/>
      <c r="F41" s="3" t="n"/>
      <c r="G41" s="3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" customHeight="1">
      <c r="A42" s="27" t="inlineStr">
        <is>
          <t>Deferred revenue, net of current portion</t>
        </is>
      </c>
      <c r="B42" s="26" t="n">
        <v>1284</v>
      </c>
      <c r="C42" s="26" t="n">
        <v>2052</v>
      </c>
      <c r="D42" s="93" t="n"/>
      <c r="E42" s="93" t="n"/>
      <c r="F42" s="3" t="n"/>
      <c r="G42" s="3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" customHeight="1">
      <c r="A43" s="27" t="inlineStr">
        <is>
          <t>Other long-term liabilities</t>
        </is>
      </c>
      <c r="B43" s="26" t="n">
        <v>3330</v>
      </c>
      <c r="C43" s="26" t="n">
        <v>3546</v>
      </c>
      <c r="D43" s="9" t="n"/>
      <c r="E43" s="9" t="n"/>
      <c r="F43" s="3" t="n"/>
      <c r="G43" s="3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" customHeight="1">
      <c r="A44" s="34" t="inlineStr">
        <is>
          <t>Total Non-Current Liabilities</t>
        </is>
      </c>
      <c r="B44" s="45">
        <f>SUM(B41:B43)</f>
        <v/>
      </c>
      <c r="C44" s="45">
        <f>SUM(C41:C43)</f>
        <v/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2" customHeight="1">
      <c r="A45" s="9" t="n"/>
      <c r="B45" s="38" t="n"/>
      <c r="C45" s="38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" customHeight="1">
      <c r="A46" s="51" t="inlineStr">
        <is>
          <t>Total Liabilities</t>
        </is>
      </c>
      <c r="B46" s="52">
        <f>B38+B44</f>
        <v/>
      </c>
      <c r="C46" s="52">
        <f>C38+C44</f>
        <v/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2" customHeight="1">
      <c r="A47" s="9" t="n"/>
      <c r="B47" s="9" t="n"/>
      <c r="C47" s="9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2" customHeight="1">
      <c r="A48" s="27" t="inlineStr">
        <is>
          <t>Redeemable noncontrolling interests in subsidiaries</t>
        </is>
      </c>
      <c r="B48" s="26" t="n">
        <v>604</v>
      </c>
      <c r="C48" s="26" t="n">
        <v>568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2" customHeight="1">
      <c r="A49" s="27" t="inlineStr">
        <is>
          <t>Convertible senior notes (Note 11)</t>
        </is>
      </c>
      <c r="B49" s="26" t="n">
        <v>51</v>
      </c>
      <c r="C49" s="26" t="n">
        <v>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2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" customHeight="1">
      <c r="A51" s="39" t="inlineStr">
        <is>
          <t>Equity</t>
        </is>
      </c>
      <c r="B51" s="40" t="n"/>
      <c r="C51" s="40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2" customHeight="1">
      <c r="A52" s="53" t="inlineStr">
        <is>
          <t>Common stock</t>
        </is>
      </c>
      <c r="B52" s="26" t="n">
        <v>1</v>
      </c>
      <c r="C52" s="26" t="n">
        <v>1</v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" customHeight="1">
      <c r="A53" s="27" t="inlineStr">
        <is>
          <t>Additional paid-in capital</t>
        </is>
      </c>
      <c r="B53" s="26" t="n">
        <v>27260</v>
      </c>
      <c r="C53" s="26" t="n">
        <v>29803</v>
      </c>
      <c r="D53" s="9" t="n"/>
      <c r="E53" s="72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" customHeight="1">
      <c r="A54" s="27" t="inlineStr">
        <is>
          <t>Accumulated other comprehensive income</t>
        </is>
      </c>
      <c r="B54" s="26" t="n">
        <v>363</v>
      </c>
      <c r="C54" s="26" t="n">
        <v>54</v>
      </c>
      <c r="D54" s="9" t="n"/>
      <c r="E54" s="72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" customHeight="1">
      <c r="A55" s="27" t="inlineStr">
        <is>
          <t>Retained earnings (accumulated deficit)</t>
        </is>
      </c>
      <c r="B55" s="26" t="n">
        <v>-5399</v>
      </c>
      <c r="C55" s="26" t="n">
        <v>331</v>
      </c>
      <c r="D55" s="9" t="n"/>
      <c r="E55" s="72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" customHeight="1">
      <c r="A56" s="27" t="inlineStr">
        <is>
          <t>Noncontrolling interests in subsidiaries</t>
        </is>
      </c>
      <c r="B56" s="26" t="n">
        <v>850</v>
      </c>
      <c r="C56" s="26" t="n">
        <v>826</v>
      </c>
      <c r="D56" s="9" t="n"/>
      <c r="E56" s="72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" customHeight="1">
      <c r="A57" s="51" t="inlineStr">
        <is>
          <t>Total Equity</t>
        </is>
      </c>
      <c r="B57" s="52">
        <f>SUM(B52:B56)</f>
        <v/>
      </c>
      <c r="C57" s="52">
        <f>SUM(C52:C56)</f>
        <v/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2" customHeight="1">
      <c r="A58" s="9" t="n"/>
      <c r="B58" s="38" t="n"/>
      <c r="C58" s="38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" customHeight="1">
      <c r="A59" s="36" t="inlineStr">
        <is>
          <t>Total Liabilities &amp; Equity</t>
        </is>
      </c>
      <c r="B59" s="37">
        <f>B46+B57+B48+B49</f>
        <v/>
      </c>
      <c r="C59" s="37">
        <f>C46+C57+C48+C49</f>
        <v/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2" customHeight="1">
      <c r="A60" s="9" t="n"/>
      <c r="B60" s="38" t="n"/>
      <c r="C60" s="38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" customHeight="1">
      <c r="A61" s="54" t="inlineStr">
        <is>
          <t>Check</t>
        </is>
      </c>
      <c r="B61" s="55">
        <f>ROUNDDOWN(B59-B26,0)</f>
        <v/>
      </c>
      <c r="C61" s="55">
        <f>ROUNDDOWN(C59-C26,0)</f>
        <v/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2" customHeight="1">
      <c r="A62" s="9" t="n"/>
      <c r="B62" s="19" t="n"/>
      <c r="C62" s="1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" customHeight="1">
      <c r="A63" s="9" t="n"/>
      <c r="B63" s="19" t="n"/>
      <c r="C63" s="1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" customHeight="1">
      <c r="A64" s="39" t="inlineStr">
        <is>
          <t>Net Working Capital</t>
        </is>
      </c>
      <c r="B64" s="40" t="n"/>
      <c r="C64" s="40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2" customHeight="1">
      <c r="A65" s="53" t="inlineStr">
        <is>
          <t>Change in Inventory</t>
        </is>
      </c>
      <c r="B65" s="56" t="n"/>
      <c r="C65" s="56">
        <f>C22-B22</f>
        <v/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" customHeight="1">
      <c r="A66" s="27" t="inlineStr">
        <is>
          <t>Change in Receivables</t>
        </is>
      </c>
      <c r="B66" s="57" t="n"/>
      <c r="C66" s="57">
        <f>C21-B21</f>
        <v/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" customHeight="1">
      <c r="A67" s="27" t="inlineStr">
        <is>
          <t>Change in Payables</t>
        </is>
      </c>
      <c r="B67" s="57" t="n"/>
      <c r="C67" s="57">
        <f>C33-B33</f>
        <v/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" customHeight="1">
      <c r="A68" s="51" t="inlineStr">
        <is>
          <t>Change in NWC</t>
        </is>
      </c>
      <c r="B68" s="52" t="n"/>
      <c r="C68" s="52">
        <f>SUM(C65:C67)</f>
        <v/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2" customHeight="1">
      <c r="A69" s="9" t="n"/>
      <c r="B69" s="19" t="n"/>
      <c r="C69" s="1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" customHeight="1">
      <c r="A70" s="9" t="n"/>
      <c r="B70" s="19" t="n"/>
      <c r="C70" s="1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" customHeight="1">
      <c r="A71" s="9" t="n"/>
      <c r="B71" s="19" t="n"/>
      <c r="C71" s="1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" customHeight="1">
      <c r="A72" s="9" t="n"/>
      <c r="B72" s="19" t="n"/>
      <c r="C72" s="1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" customHeight="1">
      <c r="A73" s="9" t="n"/>
      <c r="B73" s="19" t="n"/>
      <c r="C73" s="1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" customHeight="1">
      <c r="A74" s="9" t="n"/>
      <c r="B74" s="19" t="n"/>
      <c r="C74" s="1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" customHeight="1">
      <c r="A75" s="9" t="n"/>
      <c r="B75" s="19" t="n"/>
      <c r="C75" s="1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" customHeight="1">
      <c r="A76" s="9" t="n"/>
      <c r="B76" s="19" t="n"/>
      <c r="C76" s="1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" customHeight="1">
      <c r="A77" s="9" t="n"/>
      <c r="B77" s="19" t="n"/>
      <c r="C77" s="1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" customHeight="1">
      <c r="A78" s="9" t="n"/>
      <c r="B78" s="19" t="n"/>
      <c r="C78" s="1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" customHeight="1">
      <c r="A79" s="9" t="n"/>
      <c r="B79" s="19" t="n"/>
      <c r="C79" s="1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" customHeight="1">
      <c r="A80" s="9" t="n"/>
      <c r="B80" s="19" t="n"/>
      <c r="C80" s="1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" customHeight="1">
      <c r="A81" s="9" t="n"/>
      <c r="B81" s="19" t="n"/>
      <c r="C81" s="1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" customHeight="1">
      <c r="A82" s="9" t="n"/>
      <c r="B82" s="19" t="n"/>
      <c r="C82" s="1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" customHeight="1">
      <c r="A83" s="9" t="n"/>
      <c r="B83" s="19" t="n"/>
      <c r="C83" s="1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" customHeight="1">
      <c r="A84" s="9" t="n"/>
      <c r="B84" s="19" t="n"/>
      <c r="C84" s="1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" customHeight="1">
      <c r="A85" s="9" t="n"/>
      <c r="B85" s="19" t="n"/>
      <c r="C85" s="1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" customHeight="1">
      <c r="A86" s="9" t="n"/>
      <c r="B86" s="19" t="n"/>
      <c r="C86" s="1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" customHeight="1">
      <c r="A87" s="9" t="n"/>
      <c r="B87" s="19" t="n"/>
      <c r="C87" s="1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" customHeight="1">
      <c r="A88" s="9" t="n"/>
      <c r="B88" s="19" t="n"/>
      <c r="C88" s="1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" customHeight="1">
      <c r="A89" s="9" t="n"/>
      <c r="B89" s="19" t="n"/>
      <c r="C89" s="1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" customHeight="1">
      <c r="A90" s="9" t="n"/>
      <c r="B90" s="19" t="n"/>
      <c r="C90" s="1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" customHeight="1">
      <c r="A91" s="9" t="n"/>
      <c r="B91" s="19" t="n"/>
      <c r="C91" s="1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" customHeight="1">
      <c r="A92" s="9" t="n"/>
      <c r="B92" s="19" t="n"/>
      <c r="C92" s="1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" customHeight="1">
      <c r="A93" s="9" t="n"/>
      <c r="B93" s="19" t="n"/>
      <c r="C93" s="1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" customHeight="1">
      <c r="A94" s="9" t="n"/>
      <c r="B94" s="19" t="n"/>
      <c r="C94" s="1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" customHeight="1">
      <c r="A95" s="9" t="n"/>
      <c r="B95" s="19" t="n"/>
      <c r="C95" s="1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" customHeight="1">
      <c r="A96" s="9" t="n"/>
      <c r="B96" s="19" t="n"/>
      <c r="C96" s="1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" customHeight="1">
      <c r="A97" s="9" t="n"/>
      <c r="B97" s="19" t="n"/>
      <c r="C97" s="1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" customHeight="1">
      <c r="A98" s="9" t="n"/>
      <c r="B98" s="19" t="n"/>
      <c r="C98" s="1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" customHeight="1">
      <c r="A99" s="9" t="n"/>
      <c r="B99" s="19" t="n"/>
      <c r="C99" s="1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" customHeight="1">
      <c r="A100" s="9" t="n"/>
      <c r="B100" s="19" t="n"/>
      <c r="C100" s="1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" customHeight="1">
      <c r="A101" s="9" t="n"/>
      <c r="B101" s="19" t="n"/>
      <c r="C101" s="1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" customHeight="1">
      <c r="A102" s="9" t="n"/>
      <c r="B102" s="19" t="n"/>
      <c r="C102" s="1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" customHeight="1">
      <c r="A103" s="9" t="n"/>
      <c r="B103" s="19" t="n"/>
      <c r="C103" s="1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" customHeight="1">
      <c r="A104" s="9" t="n"/>
      <c r="B104" s="19" t="n"/>
      <c r="C104" s="1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" customHeight="1">
      <c r="A105" s="9" t="n"/>
      <c r="B105" s="19" t="n"/>
      <c r="C105" s="1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" customHeight="1">
      <c r="A106" s="9" t="n"/>
      <c r="B106" s="19" t="n"/>
      <c r="C106" s="1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" customHeight="1">
      <c r="A107" s="9" t="n"/>
      <c r="B107" s="19" t="n"/>
      <c r="C107" s="1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" customHeight="1">
      <c r="A108" s="9" t="n"/>
      <c r="B108" s="19" t="n"/>
      <c r="C108" s="1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" customHeight="1">
      <c r="A109" s="9" t="n"/>
      <c r="B109" s="19" t="n"/>
      <c r="C109" s="1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" customHeight="1">
      <c r="A110" s="9" t="n"/>
      <c r="B110" s="19" t="n"/>
      <c r="C110" s="1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" customHeight="1">
      <c r="A111" s="9" t="n"/>
      <c r="B111" s="19" t="n"/>
      <c r="C111" s="1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" customHeight="1">
      <c r="A112" s="9" t="n"/>
      <c r="B112" s="19" t="n"/>
      <c r="C112" s="1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" customHeight="1">
      <c r="A113" s="9" t="n"/>
      <c r="B113" s="19" t="n"/>
      <c r="C113" s="1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" customHeight="1">
      <c r="A114" s="9" t="n"/>
      <c r="B114" s="19" t="n"/>
      <c r="C114" s="1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" customHeight="1">
      <c r="A115" s="9" t="n"/>
      <c r="B115" s="19" t="n"/>
      <c r="C115" s="1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" customHeight="1">
      <c r="A116" s="9" t="n"/>
      <c r="B116" s="19" t="n"/>
      <c r="C116" s="1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" customHeight="1">
      <c r="A117" s="9" t="n"/>
      <c r="B117" s="19" t="n"/>
      <c r="C117" s="1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" customHeight="1">
      <c r="A118" s="9" t="n"/>
      <c r="B118" s="19" t="n"/>
      <c r="C118" s="1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" customHeight="1">
      <c r="A119" s="9" t="n"/>
      <c r="B119" s="19" t="n"/>
      <c r="C119" s="1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" customHeight="1">
      <c r="A120" s="9" t="n"/>
      <c r="B120" s="19" t="n"/>
      <c r="C120" s="1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" customHeight="1">
      <c r="A121" s="9" t="n"/>
      <c r="B121" s="19" t="n"/>
      <c r="C121" s="1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" customHeight="1">
      <c r="A122" s="9" t="n"/>
      <c r="B122" s="19" t="n"/>
      <c r="C122" s="1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" customHeight="1">
      <c r="A123" s="9" t="n"/>
      <c r="B123" s="19" t="n"/>
      <c r="C123" s="1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" customHeight="1">
      <c r="A124" s="9" t="n"/>
      <c r="B124" s="19" t="n"/>
      <c r="C124" s="1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" customHeight="1">
      <c r="A125" s="9" t="n"/>
      <c r="B125" s="19" t="n"/>
      <c r="C125" s="1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" customHeight="1">
      <c r="A126" s="9" t="n"/>
      <c r="B126" s="19" t="n"/>
      <c r="C126" s="1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" customHeight="1">
      <c r="A127" s="9" t="n"/>
      <c r="B127" s="19" t="n"/>
      <c r="C127" s="1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" customHeight="1">
      <c r="A128" s="9" t="n"/>
      <c r="B128" s="19" t="n"/>
      <c r="C128" s="1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" customHeight="1">
      <c r="A129" s="9" t="n"/>
      <c r="B129" s="19" t="n"/>
      <c r="C129" s="1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" customHeight="1">
      <c r="A130" s="9" t="n"/>
      <c r="B130" s="19" t="n"/>
      <c r="C130" s="1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" customHeight="1">
      <c r="A131" s="9" t="n"/>
      <c r="B131" s="19" t="n"/>
      <c r="C131" s="1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" customHeight="1">
      <c r="A132" s="9" t="n"/>
      <c r="B132" s="19" t="n"/>
      <c r="C132" s="1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" customHeight="1">
      <c r="A133" s="9" t="n"/>
      <c r="B133" s="19" t="n"/>
      <c r="C133" s="1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" customHeight="1">
      <c r="A134" s="9" t="n"/>
      <c r="B134" s="19" t="n"/>
      <c r="C134" s="1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" customHeight="1">
      <c r="A135" s="9" t="n"/>
      <c r="B135" s="19" t="n"/>
      <c r="C135" s="1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" customHeight="1">
      <c r="A136" s="9" t="n"/>
      <c r="B136" s="19" t="n"/>
      <c r="C136" s="1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" customHeight="1">
      <c r="A137" s="9" t="n"/>
      <c r="B137" s="19" t="n"/>
      <c r="C137" s="1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" customHeight="1">
      <c r="A138" s="9" t="n"/>
      <c r="B138" s="19" t="n"/>
      <c r="C138" s="1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" customHeight="1">
      <c r="A139" s="9" t="n"/>
      <c r="B139" s="19" t="n"/>
      <c r="C139" s="1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" customHeight="1">
      <c r="A140" s="9" t="n"/>
      <c r="B140" s="19" t="n"/>
      <c r="C140" s="1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" customHeight="1">
      <c r="A141" s="9" t="n"/>
      <c r="B141" s="19" t="n"/>
      <c r="C141" s="1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" customHeight="1">
      <c r="A142" s="9" t="n"/>
      <c r="B142" s="19" t="n"/>
      <c r="C142" s="1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" customHeight="1">
      <c r="A143" s="9" t="n"/>
      <c r="B143" s="19" t="n"/>
      <c r="C143" s="1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" customHeight="1">
      <c r="A144" s="9" t="n"/>
      <c r="B144" s="19" t="n"/>
      <c r="C144" s="1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" customHeight="1">
      <c r="A145" s="9" t="n"/>
      <c r="B145" s="19" t="n"/>
      <c r="C145" s="1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" customHeight="1">
      <c r="A146" s="9" t="n"/>
      <c r="B146" s="19" t="n"/>
      <c r="C146" s="1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" customHeight="1">
      <c r="A147" s="9" t="n"/>
      <c r="B147" s="19" t="n"/>
      <c r="C147" s="1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" customHeight="1">
      <c r="A148" s="9" t="n"/>
      <c r="B148" s="19" t="n"/>
      <c r="C148" s="1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" customHeight="1">
      <c r="A149" s="9" t="n"/>
      <c r="B149" s="19" t="n"/>
      <c r="C149" s="1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" customHeight="1">
      <c r="A150" s="9" t="n"/>
      <c r="B150" s="19" t="n"/>
      <c r="C150" s="1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" customHeight="1">
      <c r="A151" s="9" t="n"/>
      <c r="B151" s="19" t="n"/>
      <c r="C151" s="1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" customHeight="1">
      <c r="A152" s="9" t="n"/>
      <c r="B152" s="19" t="n"/>
      <c r="C152" s="1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" customHeight="1">
      <c r="A153" s="9" t="n"/>
      <c r="B153" s="19" t="n"/>
      <c r="C153" s="1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" customHeight="1">
      <c r="A154" s="9" t="n"/>
      <c r="B154" s="19" t="n"/>
      <c r="C154" s="1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" customHeight="1">
      <c r="A155" s="9" t="n"/>
      <c r="B155" s="19" t="n"/>
      <c r="C155" s="1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" customHeight="1">
      <c r="A156" s="9" t="n"/>
      <c r="B156" s="19" t="n"/>
      <c r="C156" s="1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" customHeight="1">
      <c r="A157" s="9" t="n"/>
      <c r="B157" s="19" t="n"/>
      <c r="C157" s="1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" customHeight="1">
      <c r="A158" s="9" t="n"/>
      <c r="B158" s="19" t="n"/>
      <c r="C158" s="1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" customHeight="1">
      <c r="A159" s="9" t="n"/>
      <c r="B159" s="19" t="n"/>
      <c r="C159" s="1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" customHeight="1">
      <c r="A160" s="9" t="n"/>
      <c r="B160" s="19" t="n"/>
      <c r="C160" s="1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" customHeight="1">
      <c r="A161" s="9" t="n"/>
      <c r="B161" s="19" t="n"/>
      <c r="C161" s="1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" customHeight="1">
      <c r="A162" s="9" t="n"/>
      <c r="B162" s="19" t="n"/>
      <c r="C162" s="1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" customHeight="1">
      <c r="A163" s="9" t="n"/>
      <c r="B163" s="19" t="n"/>
      <c r="C163" s="1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" customHeight="1">
      <c r="A164" s="9" t="n"/>
      <c r="B164" s="19" t="n"/>
      <c r="C164" s="1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" customHeight="1">
      <c r="A165" s="9" t="n"/>
      <c r="B165" s="19" t="n"/>
      <c r="C165" s="1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" customHeight="1">
      <c r="A166" s="9" t="n"/>
      <c r="B166" s="19" t="n"/>
      <c r="C166" s="1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" customHeight="1">
      <c r="A167" s="9" t="n"/>
      <c r="B167" s="19" t="n"/>
      <c r="C167" s="1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" customHeight="1">
      <c r="A168" s="9" t="n"/>
      <c r="B168" s="19" t="n"/>
      <c r="C168" s="1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" customHeight="1">
      <c r="A169" s="9" t="n"/>
      <c r="B169" s="19" t="n"/>
      <c r="C169" s="1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" customHeight="1">
      <c r="A170" s="9" t="n"/>
      <c r="B170" s="19" t="n"/>
      <c r="C170" s="1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" customHeight="1">
      <c r="A171" s="9" t="n"/>
      <c r="B171" s="19" t="n"/>
      <c r="C171" s="1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" customHeight="1">
      <c r="A172" s="9" t="n"/>
      <c r="B172" s="19" t="n"/>
      <c r="C172" s="1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" customHeight="1">
      <c r="A173" s="9" t="n"/>
      <c r="B173" s="19" t="n"/>
      <c r="C173" s="1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" customHeight="1">
      <c r="A174" s="9" t="n"/>
      <c r="B174" s="19" t="n"/>
      <c r="C174" s="1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" customHeight="1">
      <c r="A175" s="9" t="n"/>
      <c r="B175" s="19" t="n"/>
      <c r="C175" s="1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" customHeight="1">
      <c r="A176" s="9" t="n"/>
      <c r="B176" s="19" t="n"/>
      <c r="C176" s="1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" customHeight="1">
      <c r="A177" s="9" t="n"/>
      <c r="B177" s="19" t="n"/>
      <c r="C177" s="1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" customHeight="1">
      <c r="A178" s="9" t="n"/>
      <c r="B178" s="19" t="n"/>
      <c r="C178" s="1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" customHeight="1">
      <c r="A179" s="9" t="n"/>
      <c r="B179" s="19" t="n"/>
      <c r="C179" s="1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" customHeight="1">
      <c r="A180" s="9" t="n"/>
      <c r="B180" s="19" t="n"/>
      <c r="C180" s="1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" customHeight="1">
      <c r="A181" s="9" t="n"/>
      <c r="B181" s="19" t="n"/>
      <c r="C181" s="1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" customHeight="1">
      <c r="A182" s="9" t="n"/>
      <c r="B182" s="19" t="n"/>
      <c r="C182" s="1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" customHeight="1">
      <c r="A183" s="9" t="n"/>
      <c r="B183" s="19" t="n"/>
      <c r="C183" s="1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" customHeight="1">
      <c r="A184" s="9" t="n"/>
      <c r="B184" s="19" t="n"/>
      <c r="C184" s="1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" customHeight="1">
      <c r="A185" s="9" t="n"/>
      <c r="B185" s="19" t="n"/>
      <c r="C185" s="1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" customHeight="1">
      <c r="A186" s="9" t="n"/>
      <c r="B186" s="19" t="n"/>
      <c r="C186" s="1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" customHeight="1">
      <c r="A187" s="9" t="n"/>
      <c r="B187" s="19" t="n"/>
      <c r="C187" s="1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" customHeight="1">
      <c r="A188" s="9" t="n"/>
      <c r="B188" s="19" t="n"/>
      <c r="C188" s="1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" customHeight="1">
      <c r="A189" s="9" t="n"/>
      <c r="B189" s="19" t="n"/>
      <c r="C189" s="1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" customHeight="1">
      <c r="A190" s="9" t="n"/>
      <c r="B190" s="19" t="n"/>
      <c r="C190" s="1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" customHeight="1">
      <c r="A191" s="9" t="n"/>
      <c r="B191" s="19" t="n"/>
      <c r="C191" s="1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" customHeight="1">
      <c r="A192" s="9" t="n"/>
      <c r="B192" s="19" t="n"/>
      <c r="C192" s="1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" customHeight="1">
      <c r="A193" s="9" t="n"/>
      <c r="B193" s="19" t="n"/>
      <c r="C193" s="1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" customHeight="1">
      <c r="A194" s="9" t="n"/>
      <c r="B194" s="19" t="n"/>
      <c r="C194" s="1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" customHeight="1">
      <c r="A195" s="9" t="n"/>
      <c r="B195" s="19" t="n"/>
      <c r="C195" s="1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" customHeight="1">
      <c r="A196" s="9" t="n"/>
      <c r="B196" s="19" t="n"/>
      <c r="C196" s="1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" customHeight="1">
      <c r="A197" s="9" t="n"/>
      <c r="B197" s="19" t="n"/>
      <c r="C197" s="1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" customHeight="1">
      <c r="A198" s="9" t="n"/>
      <c r="B198" s="19" t="n"/>
      <c r="C198" s="1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" customHeight="1">
      <c r="A199" s="9" t="n"/>
      <c r="B199" s="19" t="n"/>
      <c r="C199" s="1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" customHeight="1">
      <c r="A200" s="9" t="n"/>
      <c r="B200" s="19" t="n"/>
      <c r="C200" s="1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" customHeight="1">
      <c r="A201" s="9" t="n"/>
      <c r="B201" s="19" t="n"/>
      <c r="C201" s="1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" customHeight="1">
      <c r="A202" s="9" t="n"/>
      <c r="B202" s="19" t="n"/>
      <c r="C202" s="1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" customHeight="1">
      <c r="A203" s="9" t="n"/>
      <c r="B203" s="19" t="n"/>
      <c r="C203" s="1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" customHeight="1">
      <c r="A204" s="9" t="n"/>
      <c r="B204" s="19" t="n"/>
      <c r="C204" s="1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" customHeight="1">
      <c r="A205" s="9" t="n"/>
      <c r="B205" s="19" t="n"/>
      <c r="C205" s="1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" customHeight="1">
      <c r="A206" s="9" t="n"/>
      <c r="B206" s="19" t="n"/>
      <c r="C206" s="1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" customHeight="1">
      <c r="A207" s="9" t="n"/>
      <c r="B207" s="19" t="n"/>
      <c r="C207" s="1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" customHeight="1">
      <c r="A208" s="9" t="n"/>
      <c r="B208" s="19" t="n"/>
      <c r="C208" s="1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" customHeight="1">
      <c r="A209" s="9" t="n"/>
      <c r="B209" s="19" t="n"/>
      <c r="C209" s="1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" customHeight="1">
      <c r="A210" s="9" t="n"/>
      <c r="B210" s="19" t="n"/>
      <c r="C210" s="1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" customHeight="1">
      <c r="A211" s="9" t="n"/>
      <c r="B211" s="19" t="n"/>
      <c r="C211" s="1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" customHeight="1">
      <c r="A212" s="9" t="n"/>
      <c r="B212" s="19" t="n"/>
      <c r="C212" s="1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" customHeight="1">
      <c r="A213" s="9" t="n"/>
      <c r="B213" s="19" t="n"/>
      <c r="C213" s="1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" customHeight="1">
      <c r="A214" s="9" t="n"/>
      <c r="B214" s="19" t="n"/>
      <c r="C214" s="1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" customHeight="1">
      <c r="A215" s="9" t="n"/>
      <c r="B215" s="19" t="n"/>
      <c r="C215" s="1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" customHeight="1">
      <c r="A216" s="9" t="n"/>
      <c r="B216" s="19" t="n"/>
      <c r="C216" s="1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" customHeight="1">
      <c r="A217" s="9" t="n"/>
      <c r="B217" s="19" t="n"/>
      <c r="C217" s="1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" customHeight="1">
      <c r="A218" s="9" t="n"/>
      <c r="B218" s="19" t="n"/>
      <c r="C218" s="1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" customHeight="1">
      <c r="A219" s="9" t="n"/>
      <c r="B219" s="19" t="n"/>
      <c r="C219" s="1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" customHeight="1">
      <c r="A220" s="9" t="n"/>
      <c r="B220" s="19" t="n"/>
      <c r="C220" s="1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" customHeight="1">
      <c r="A221" s="9" t="n"/>
      <c r="B221" s="19" t="n"/>
      <c r="C221" s="1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" customHeight="1">
      <c r="A222" s="9" t="n"/>
      <c r="B222" s="19" t="n"/>
      <c r="C222" s="1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" customHeight="1">
      <c r="A223" s="9" t="n"/>
      <c r="B223" s="19" t="n"/>
      <c r="C223" s="1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" customHeight="1">
      <c r="A224" s="9" t="n"/>
      <c r="B224" s="19" t="n"/>
      <c r="C224" s="1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" customHeight="1">
      <c r="A225" s="9" t="n"/>
      <c r="B225" s="19" t="n"/>
      <c r="C225" s="1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" customHeight="1">
      <c r="A226" s="9" t="n"/>
      <c r="B226" s="19" t="n"/>
      <c r="C226" s="1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" customHeight="1">
      <c r="A227" s="9" t="n"/>
      <c r="B227" s="19" t="n"/>
      <c r="C227" s="1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" customHeight="1">
      <c r="A228" s="9" t="n"/>
      <c r="B228" s="19" t="n"/>
      <c r="C228" s="1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" customHeight="1">
      <c r="A229" s="9" t="n"/>
      <c r="B229" s="19" t="n"/>
      <c r="C229" s="1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" customHeight="1">
      <c r="A230" s="9" t="n"/>
      <c r="B230" s="19" t="n"/>
      <c r="C230" s="1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" customHeight="1">
      <c r="A231" s="9" t="n"/>
      <c r="B231" s="19" t="n"/>
      <c r="C231" s="1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" customHeight="1">
      <c r="A232" s="9" t="n"/>
      <c r="B232" s="19" t="n"/>
      <c r="C232" s="1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" customHeight="1">
      <c r="A233" s="9" t="n"/>
      <c r="B233" s="19" t="n"/>
      <c r="C233" s="1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" customHeight="1">
      <c r="A234" s="9" t="n"/>
      <c r="B234" s="19" t="n"/>
      <c r="C234" s="1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" customHeight="1">
      <c r="A235" s="9" t="n"/>
      <c r="B235" s="19" t="n"/>
      <c r="C235" s="1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" customHeight="1">
      <c r="A236" s="9" t="n"/>
      <c r="B236" s="19" t="n"/>
      <c r="C236" s="1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" customHeight="1">
      <c r="A237" s="9" t="n"/>
      <c r="B237" s="19" t="n"/>
      <c r="C237" s="1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" customHeight="1">
      <c r="A238" s="9" t="n"/>
      <c r="B238" s="19" t="n"/>
      <c r="C238" s="1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" customHeight="1">
      <c r="A239" s="9" t="n"/>
      <c r="B239" s="19" t="n"/>
      <c r="C239" s="1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" customHeight="1">
      <c r="A240" s="9" t="n"/>
      <c r="B240" s="19" t="n"/>
      <c r="C240" s="1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" customHeight="1">
      <c r="A241" s="9" t="n"/>
      <c r="B241" s="19" t="n"/>
      <c r="C241" s="1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" customHeight="1">
      <c r="A242" s="9" t="n"/>
      <c r="B242" s="19" t="n"/>
      <c r="C242" s="1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" customHeight="1">
      <c r="A243" s="9" t="n"/>
      <c r="B243" s="19" t="n"/>
      <c r="C243" s="1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" customHeight="1">
      <c r="A244" s="9" t="n"/>
      <c r="B244" s="19" t="n"/>
      <c r="C244" s="1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" customHeight="1">
      <c r="A245" s="9" t="n"/>
      <c r="B245" s="19" t="n"/>
      <c r="C245" s="1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" customHeight="1">
      <c r="A246" s="9" t="n"/>
      <c r="B246" s="19" t="n"/>
      <c r="C246" s="1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" customHeight="1">
      <c r="A247" s="9" t="n"/>
      <c r="B247" s="19" t="n"/>
      <c r="C247" s="1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" customHeight="1">
      <c r="A248" s="9" t="n"/>
      <c r="B248" s="19" t="n"/>
      <c r="C248" s="1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" customHeight="1">
      <c r="A249" s="9" t="n"/>
      <c r="B249" s="19" t="n"/>
      <c r="C249" s="1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" customHeight="1">
      <c r="A250" s="9" t="n"/>
      <c r="B250" s="19" t="n"/>
      <c r="C250" s="1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" customHeight="1">
      <c r="A251" s="9" t="n"/>
      <c r="B251" s="19" t="n"/>
      <c r="C251" s="1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" customHeight="1">
      <c r="A252" s="9" t="n"/>
      <c r="B252" s="19" t="n"/>
      <c r="C252" s="1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" customHeight="1">
      <c r="A253" s="9" t="n"/>
      <c r="B253" s="19" t="n"/>
      <c r="C253" s="1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" customHeight="1">
      <c r="A254" s="9" t="n"/>
      <c r="B254" s="19" t="n"/>
      <c r="C254" s="1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" customHeight="1">
      <c r="A255" s="9" t="n"/>
      <c r="B255" s="19" t="n"/>
      <c r="C255" s="1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" customHeight="1">
      <c r="A256" s="9" t="n"/>
      <c r="B256" s="19" t="n"/>
      <c r="C256" s="1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" customHeight="1">
      <c r="A257" s="9" t="n"/>
      <c r="B257" s="19" t="n"/>
      <c r="C257" s="1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" customHeight="1">
      <c r="A258" s="9" t="n"/>
      <c r="B258" s="19" t="n"/>
      <c r="C258" s="1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" customHeight="1">
      <c r="A259" s="9" t="n"/>
      <c r="B259" s="19" t="n"/>
      <c r="C259" s="1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" customHeight="1">
      <c r="A260" s="9" t="n"/>
      <c r="B260" s="19" t="n"/>
      <c r="C260" s="1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" customHeight="1">
      <c r="A261" s="9" t="n"/>
      <c r="B261" s="19" t="n"/>
      <c r="C261" s="1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" customHeight="1">
      <c r="A262" s="9" t="n"/>
      <c r="B262" s="19" t="n"/>
      <c r="C262" s="1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" customHeight="1">
      <c r="A263" s="9" t="n"/>
      <c r="B263" s="19" t="n"/>
      <c r="C263" s="1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" customHeight="1">
      <c r="A264" s="9" t="n"/>
      <c r="B264" s="19" t="n"/>
      <c r="C264" s="1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" customHeight="1">
      <c r="A265" s="9" t="n"/>
      <c r="B265" s="19" t="n"/>
      <c r="C265" s="1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" customHeight="1">
      <c r="A266" s="9" t="n"/>
      <c r="B266" s="19" t="n"/>
      <c r="C266" s="1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" customHeight="1">
      <c r="A267" s="9" t="n"/>
      <c r="B267" s="19" t="n"/>
      <c r="C267" s="1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" customHeight="1">
      <c r="A268" s="9" t="n"/>
      <c r="B268" s="19" t="n"/>
      <c r="C268" s="1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" customHeight="1">
      <c r="A269" s="9" t="n"/>
      <c r="B269" s="19" t="n"/>
      <c r="C269" s="1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" customHeight="1">
      <c r="A270" s="9" t="n"/>
      <c r="B270" s="19" t="n"/>
      <c r="C270" s="1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" customHeight="1">
      <c r="A271" s="9" t="n"/>
      <c r="B271" s="19" t="n"/>
      <c r="C271" s="1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" customHeight="1">
      <c r="A272" s="9" t="n"/>
      <c r="B272" s="19" t="n"/>
      <c r="C272" s="1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" customHeight="1">
      <c r="A273" s="9" t="n"/>
      <c r="B273" s="19" t="n"/>
      <c r="C273" s="1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" customHeight="1">
      <c r="A274" s="9" t="n"/>
      <c r="B274" s="19" t="n"/>
      <c r="C274" s="1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" customHeight="1">
      <c r="A275" s="9" t="n"/>
      <c r="B275" s="19" t="n"/>
      <c r="C275" s="1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" customHeight="1">
      <c r="A276" s="9" t="n"/>
      <c r="B276" s="19" t="n"/>
      <c r="C276" s="1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" customHeight="1">
      <c r="A277" s="9" t="n"/>
      <c r="B277" s="19" t="n"/>
      <c r="C277" s="1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" customHeight="1">
      <c r="A278" s="9" t="n"/>
      <c r="B278" s="19" t="n"/>
      <c r="C278" s="1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" customHeight="1">
      <c r="A279" s="9" t="n"/>
      <c r="B279" s="19" t="n"/>
      <c r="C279" s="1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" customHeight="1">
      <c r="A280" s="9" t="n"/>
      <c r="B280" s="19" t="n"/>
      <c r="C280" s="1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" customHeight="1">
      <c r="A281" s="9" t="n"/>
      <c r="B281" s="19" t="n"/>
      <c r="C281" s="1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" customHeight="1">
      <c r="A282" s="9" t="n"/>
      <c r="B282" s="19" t="n"/>
      <c r="C282" s="1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" customHeight="1">
      <c r="A283" s="9" t="n"/>
      <c r="B283" s="19" t="n"/>
      <c r="C283" s="1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" customHeight="1">
      <c r="A284" s="9" t="n"/>
      <c r="B284" s="19" t="n"/>
      <c r="C284" s="1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" customHeight="1">
      <c r="A285" s="9" t="n"/>
      <c r="B285" s="19" t="n"/>
      <c r="C285" s="1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" customHeight="1">
      <c r="A286" s="9" t="n"/>
      <c r="B286" s="19" t="n"/>
      <c r="C286" s="1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" customHeight="1">
      <c r="A287" s="9" t="n"/>
      <c r="B287" s="19" t="n"/>
      <c r="C287" s="1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" customHeight="1">
      <c r="A288" s="9" t="n"/>
      <c r="B288" s="19" t="n"/>
      <c r="C288" s="1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" customHeight="1">
      <c r="A289" s="9" t="n"/>
      <c r="B289" s="19" t="n"/>
      <c r="C289" s="1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" customHeight="1">
      <c r="A290" s="9" t="n"/>
      <c r="B290" s="19" t="n"/>
      <c r="C290" s="1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" customHeight="1">
      <c r="A291" s="9" t="n"/>
      <c r="B291" s="19" t="n"/>
      <c r="C291" s="1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" customHeight="1">
      <c r="A292" s="9" t="n"/>
      <c r="B292" s="19" t="n"/>
      <c r="C292" s="1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" customHeight="1">
      <c r="A293" s="9" t="n"/>
      <c r="B293" s="19" t="n"/>
      <c r="C293" s="1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" customHeight="1">
      <c r="A294" s="9" t="n"/>
      <c r="B294" s="19" t="n"/>
      <c r="C294" s="1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" customHeight="1">
      <c r="A295" s="9" t="n"/>
      <c r="B295" s="19" t="n"/>
      <c r="C295" s="1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" customHeight="1">
      <c r="A296" s="9" t="n"/>
      <c r="B296" s="19" t="n"/>
      <c r="C296" s="1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" customHeight="1">
      <c r="A297" s="9" t="n"/>
      <c r="B297" s="19" t="n"/>
      <c r="C297" s="1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" customHeight="1">
      <c r="A298" s="9" t="n"/>
      <c r="B298" s="19" t="n"/>
      <c r="C298" s="1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" customHeight="1">
      <c r="A299" s="9" t="n"/>
      <c r="B299" s="19" t="n"/>
      <c r="C299" s="1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" customHeight="1">
      <c r="A300" s="9" t="n"/>
      <c r="B300" s="19" t="n"/>
      <c r="C300" s="1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" customHeight="1">
      <c r="A301" s="9" t="n"/>
      <c r="B301" s="19" t="n"/>
      <c r="C301" s="1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" customHeight="1">
      <c r="A302" s="9" t="n"/>
      <c r="B302" s="19" t="n"/>
      <c r="C302" s="1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" customHeight="1">
      <c r="A303" s="9" t="n"/>
      <c r="B303" s="19" t="n"/>
      <c r="C303" s="1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" customHeight="1">
      <c r="A304" s="9" t="n"/>
      <c r="B304" s="19" t="n"/>
      <c r="C304" s="1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" customHeight="1">
      <c r="A305" s="9" t="n"/>
      <c r="B305" s="19" t="n"/>
      <c r="C305" s="1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" customHeight="1">
      <c r="A306" s="9" t="n"/>
      <c r="B306" s="19" t="n"/>
      <c r="C306" s="1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" customHeight="1">
      <c r="A307" s="9" t="n"/>
      <c r="B307" s="19" t="n"/>
      <c r="C307" s="1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" customHeight="1">
      <c r="A308" s="9" t="n"/>
      <c r="B308" s="19" t="n"/>
      <c r="C308" s="1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" customHeight="1">
      <c r="A309" s="9" t="n"/>
      <c r="B309" s="19" t="n"/>
      <c r="C309" s="1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" customHeight="1">
      <c r="A310" s="9" t="n"/>
      <c r="B310" s="19" t="n"/>
      <c r="C310" s="1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" customHeight="1">
      <c r="A311" s="9" t="n"/>
      <c r="B311" s="19" t="n"/>
      <c r="C311" s="1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" customHeight="1">
      <c r="A312" s="9" t="n"/>
      <c r="B312" s="19" t="n"/>
      <c r="C312" s="1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" customHeight="1">
      <c r="A313" s="9" t="n"/>
      <c r="B313" s="19" t="n"/>
      <c r="C313" s="1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" customHeight="1">
      <c r="A314" s="9" t="n"/>
      <c r="B314" s="19" t="n"/>
      <c r="C314" s="1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" customHeight="1">
      <c r="A315" s="9" t="n"/>
      <c r="B315" s="19" t="n"/>
      <c r="C315" s="1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" customHeight="1">
      <c r="A316" s="9" t="n"/>
      <c r="B316" s="19" t="n"/>
      <c r="C316" s="1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" customHeight="1">
      <c r="A317" s="9" t="n"/>
      <c r="B317" s="19" t="n"/>
      <c r="C317" s="1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" customHeight="1">
      <c r="A318" s="9" t="n"/>
      <c r="B318" s="19" t="n"/>
      <c r="C318" s="1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" customHeight="1">
      <c r="A319" s="9" t="n"/>
      <c r="B319" s="19" t="n"/>
      <c r="C319" s="1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" customHeight="1">
      <c r="A320" s="9" t="n"/>
      <c r="B320" s="19" t="n"/>
      <c r="C320" s="1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" customHeight="1">
      <c r="A321" s="9" t="n"/>
      <c r="B321" s="19" t="n"/>
      <c r="C321" s="1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" customHeight="1">
      <c r="A322" s="9" t="n"/>
      <c r="B322" s="19" t="n"/>
      <c r="C322" s="1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" customHeight="1">
      <c r="A323" s="9" t="n"/>
      <c r="B323" s="19" t="n"/>
      <c r="C323" s="1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" customHeight="1">
      <c r="A324" s="9" t="n"/>
      <c r="B324" s="19" t="n"/>
      <c r="C324" s="1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" customHeight="1">
      <c r="A325" s="9" t="n"/>
      <c r="B325" s="19" t="n"/>
      <c r="C325" s="1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" customHeight="1">
      <c r="A326" s="9" t="n"/>
      <c r="B326" s="19" t="n"/>
      <c r="C326" s="1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" customHeight="1">
      <c r="A327" s="9" t="n"/>
      <c r="B327" s="19" t="n"/>
      <c r="C327" s="1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" customHeight="1">
      <c r="A328" s="9" t="n"/>
      <c r="B328" s="19" t="n"/>
      <c r="C328" s="1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" customHeight="1">
      <c r="A329" s="9" t="n"/>
      <c r="B329" s="19" t="n"/>
      <c r="C329" s="1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" customHeight="1">
      <c r="A330" s="9" t="n"/>
      <c r="B330" s="19" t="n"/>
      <c r="C330" s="1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" customHeight="1">
      <c r="A331" s="9" t="n"/>
      <c r="B331" s="19" t="n"/>
      <c r="C331" s="1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" customHeight="1">
      <c r="A332" s="9" t="n"/>
      <c r="B332" s="19" t="n"/>
      <c r="C332" s="1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" customHeight="1">
      <c r="A333" s="9" t="n"/>
      <c r="B333" s="19" t="n"/>
      <c r="C333" s="1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" customHeight="1">
      <c r="A334" s="9" t="n"/>
      <c r="B334" s="19" t="n"/>
      <c r="C334" s="1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" customHeight="1">
      <c r="A335" s="9" t="n"/>
      <c r="B335" s="19" t="n"/>
      <c r="C335" s="1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" customHeight="1">
      <c r="A336" s="9" t="n"/>
      <c r="B336" s="19" t="n"/>
      <c r="C336" s="1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" customHeight="1">
      <c r="A337" s="9" t="n"/>
      <c r="B337" s="19" t="n"/>
      <c r="C337" s="1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" customHeight="1">
      <c r="A338" s="9" t="n"/>
      <c r="B338" s="19" t="n"/>
      <c r="C338" s="1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" customHeight="1">
      <c r="A339" s="9" t="n"/>
      <c r="B339" s="19" t="n"/>
      <c r="C339" s="1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" customHeight="1">
      <c r="A340" s="9" t="n"/>
      <c r="B340" s="19" t="n"/>
      <c r="C340" s="1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" customHeight="1">
      <c r="A341" s="9" t="n"/>
      <c r="B341" s="19" t="n"/>
      <c r="C341" s="1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" customHeight="1">
      <c r="A342" s="9" t="n"/>
      <c r="B342" s="19" t="n"/>
      <c r="C342" s="1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" customHeight="1">
      <c r="A343" s="9" t="n"/>
      <c r="B343" s="19" t="n"/>
      <c r="C343" s="1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" customHeight="1">
      <c r="A344" s="9" t="n"/>
      <c r="B344" s="19" t="n"/>
      <c r="C344" s="1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" customHeight="1">
      <c r="A345" s="9" t="n"/>
      <c r="B345" s="19" t="n"/>
      <c r="C345" s="1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" customHeight="1">
      <c r="A346" s="9" t="n"/>
      <c r="B346" s="19" t="n"/>
      <c r="C346" s="1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" customHeight="1">
      <c r="A347" s="9" t="n"/>
      <c r="B347" s="19" t="n"/>
      <c r="C347" s="1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" customHeight="1">
      <c r="A348" s="9" t="n"/>
      <c r="B348" s="19" t="n"/>
      <c r="C348" s="1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" customHeight="1">
      <c r="A349" s="9" t="n"/>
      <c r="B349" s="19" t="n"/>
      <c r="C349" s="1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" customHeight="1">
      <c r="A350" s="9" t="n"/>
      <c r="B350" s="19" t="n"/>
      <c r="C350" s="1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" customHeight="1">
      <c r="A351" s="9" t="n"/>
      <c r="B351" s="19" t="n"/>
      <c r="C351" s="1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" customHeight="1">
      <c r="A352" s="9" t="n"/>
      <c r="B352" s="19" t="n"/>
      <c r="C352" s="1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" customHeight="1">
      <c r="A353" s="9" t="n"/>
      <c r="B353" s="19" t="n"/>
      <c r="C353" s="1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" customHeight="1">
      <c r="A354" s="9" t="n"/>
      <c r="B354" s="19" t="n"/>
      <c r="C354" s="1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" customHeight="1">
      <c r="A355" s="9" t="n"/>
      <c r="B355" s="19" t="n"/>
      <c r="C355" s="1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" customHeight="1">
      <c r="A356" s="9" t="n"/>
      <c r="B356" s="19" t="n"/>
      <c r="C356" s="1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" customHeight="1">
      <c r="A357" s="9" t="n"/>
      <c r="B357" s="19" t="n"/>
      <c r="C357" s="1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" customHeight="1">
      <c r="A358" s="9" t="n"/>
      <c r="B358" s="19" t="n"/>
      <c r="C358" s="1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" customHeight="1">
      <c r="A359" s="9" t="n"/>
      <c r="B359" s="19" t="n"/>
      <c r="C359" s="1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" customHeight="1">
      <c r="A360" s="9" t="n"/>
      <c r="B360" s="19" t="n"/>
      <c r="C360" s="1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" customHeight="1">
      <c r="A361" s="9" t="n"/>
      <c r="B361" s="19" t="n"/>
      <c r="C361" s="1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" customHeight="1">
      <c r="A362" s="9" t="n"/>
      <c r="B362" s="19" t="n"/>
      <c r="C362" s="1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" customHeight="1">
      <c r="A363" s="9" t="n"/>
      <c r="B363" s="19" t="n"/>
      <c r="C363" s="1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" customHeight="1">
      <c r="A364" s="9" t="n"/>
      <c r="B364" s="19" t="n"/>
      <c r="C364" s="1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" customHeight="1">
      <c r="A365" s="9" t="n"/>
      <c r="B365" s="19" t="n"/>
      <c r="C365" s="1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" customHeight="1">
      <c r="A366" s="9" t="n"/>
      <c r="B366" s="19" t="n"/>
      <c r="C366" s="1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" customHeight="1">
      <c r="A367" s="9" t="n"/>
      <c r="B367" s="19" t="n"/>
      <c r="C367" s="1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" customHeight="1">
      <c r="A368" s="9" t="n"/>
      <c r="B368" s="19" t="n"/>
      <c r="C368" s="1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" customHeight="1">
      <c r="A369" s="9" t="n"/>
      <c r="B369" s="19" t="n"/>
      <c r="C369" s="1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" customHeight="1">
      <c r="A370" s="9" t="n"/>
      <c r="B370" s="19" t="n"/>
      <c r="C370" s="1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" customHeight="1">
      <c r="A371" s="9" t="n"/>
      <c r="B371" s="19" t="n"/>
      <c r="C371" s="1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" customHeight="1">
      <c r="A372" s="9" t="n"/>
      <c r="B372" s="19" t="n"/>
      <c r="C372" s="1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" customHeight="1">
      <c r="A373" s="9" t="n"/>
      <c r="B373" s="19" t="n"/>
      <c r="C373" s="1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" customHeight="1">
      <c r="A374" s="9" t="n"/>
      <c r="B374" s="19" t="n"/>
      <c r="C374" s="1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" customHeight="1">
      <c r="A375" s="9" t="n"/>
      <c r="B375" s="19" t="n"/>
      <c r="C375" s="1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" customHeight="1">
      <c r="A376" s="9" t="n"/>
      <c r="B376" s="19" t="n"/>
      <c r="C376" s="1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" customHeight="1">
      <c r="A377" s="9" t="n"/>
      <c r="B377" s="19" t="n"/>
      <c r="C377" s="1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" customHeight="1">
      <c r="A378" s="9" t="n"/>
      <c r="B378" s="19" t="n"/>
      <c r="C378" s="1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" customHeight="1">
      <c r="A379" s="9" t="n"/>
      <c r="B379" s="19" t="n"/>
      <c r="C379" s="1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" customHeight="1">
      <c r="A380" s="9" t="n"/>
      <c r="B380" s="19" t="n"/>
      <c r="C380" s="1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" customHeight="1">
      <c r="A381" s="9" t="n"/>
      <c r="B381" s="19" t="n"/>
      <c r="C381" s="1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" customHeight="1">
      <c r="A382" s="9" t="n"/>
      <c r="B382" s="19" t="n"/>
      <c r="C382" s="1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" customHeight="1">
      <c r="A383" s="9" t="n"/>
      <c r="B383" s="19" t="n"/>
      <c r="C383" s="1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" customHeight="1">
      <c r="A384" s="9" t="n"/>
      <c r="B384" s="19" t="n"/>
      <c r="C384" s="1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" customHeight="1">
      <c r="A385" s="9" t="n"/>
      <c r="B385" s="19" t="n"/>
      <c r="C385" s="1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" customHeight="1">
      <c r="A386" s="9" t="n"/>
      <c r="B386" s="19" t="n"/>
      <c r="C386" s="1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" customHeight="1">
      <c r="A387" s="9" t="n"/>
      <c r="B387" s="19" t="n"/>
      <c r="C387" s="1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" customHeight="1">
      <c r="A388" s="9" t="n"/>
      <c r="B388" s="19" t="n"/>
      <c r="C388" s="1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" customHeight="1">
      <c r="A389" s="9" t="n"/>
      <c r="B389" s="19" t="n"/>
      <c r="C389" s="1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" customHeight="1">
      <c r="A390" s="9" t="n"/>
      <c r="B390" s="19" t="n"/>
      <c r="C390" s="1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" customHeight="1">
      <c r="A391" s="9" t="n"/>
      <c r="B391" s="19" t="n"/>
      <c r="C391" s="1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" customHeight="1">
      <c r="A392" s="9" t="n"/>
      <c r="B392" s="19" t="n"/>
      <c r="C392" s="1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" customHeight="1">
      <c r="A393" s="9" t="n"/>
      <c r="B393" s="19" t="n"/>
      <c r="C393" s="1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" customHeight="1">
      <c r="A394" s="9" t="n"/>
      <c r="B394" s="19" t="n"/>
      <c r="C394" s="1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" customHeight="1">
      <c r="A395" s="9" t="n"/>
      <c r="B395" s="19" t="n"/>
      <c r="C395" s="1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" customHeight="1">
      <c r="A396" s="9" t="n"/>
      <c r="B396" s="19" t="n"/>
      <c r="C396" s="1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" customHeight="1">
      <c r="A397" s="9" t="n"/>
      <c r="B397" s="19" t="n"/>
      <c r="C397" s="1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" customHeight="1">
      <c r="A398" s="9" t="n"/>
      <c r="B398" s="19" t="n"/>
      <c r="C398" s="1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" customHeight="1">
      <c r="A399" s="9" t="n"/>
      <c r="B399" s="19" t="n"/>
      <c r="C399" s="1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" customHeight="1">
      <c r="A400" s="9" t="n"/>
      <c r="B400" s="19" t="n"/>
      <c r="C400" s="1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" customHeight="1">
      <c r="A401" s="9" t="n"/>
      <c r="B401" s="19" t="n"/>
      <c r="C401" s="1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" customHeight="1">
      <c r="A402" s="9" t="n"/>
      <c r="B402" s="19" t="n"/>
      <c r="C402" s="1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" customHeight="1">
      <c r="A403" s="9" t="n"/>
      <c r="B403" s="19" t="n"/>
      <c r="C403" s="1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" customHeight="1">
      <c r="A404" s="9" t="n"/>
      <c r="B404" s="19" t="n"/>
      <c r="C404" s="1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" customHeight="1">
      <c r="A405" s="9" t="n"/>
      <c r="B405" s="19" t="n"/>
      <c r="C405" s="1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" customHeight="1">
      <c r="A406" s="9" t="n"/>
      <c r="B406" s="19" t="n"/>
      <c r="C406" s="1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" customHeight="1">
      <c r="A407" s="9" t="n"/>
      <c r="B407" s="19" t="n"/>
      <c r="C407" s="1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" customHeight="1">
      <c r="A408" s="9" t="n"/>
      <c r="B408" s="19" t="n"/>
      <c r="C408" s="1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" customHeight="1">
      <c r="A409" s="9" t="n"/>
      <c r="B409" s="19" t="n"/>
      <c r="C409" s="1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" customHeight="1">
      <c r="A410" s="9" t="n"/>
      <c r="B410" s="19" t="n"/>
      <c r="C410" s="1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" customHeight="1">
      <c r="A411" s="9" t="n"/>
      <c r="B411" s="19" t="n"/>
      <c r="C411" s="1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" customHeight="1">
      <c r="A412" s="9" t="n"/>
      <c r="B412" s="19" t="n"/>
      <c r="C412" s="1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" customHeight="1">
      <c r="A413" s="9" t="n"/>
      <c r="B413" s="19" t="n"/>
      <c r="C413" s="1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" customHeight="1">
      <c r="A414" s="9" t="n"/>
      <c r="B414" s="19" t="n"/>
      <c r="C414" s="1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" customHeight="1">
      <c r="A415" s="9" t="n"/>
      <c r="B415" s="19" t="n"/>
      <c r="C415" s="1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" customHeight="1">
      <c r="A416" s="9" t="n"/>
      <c r="B416" s="19" t="n"/>
      <c r="C416" s="1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" customHeight="1">
      <c r="A417" s="9" t="n"/>
      <c r="B417" s="19" t="n"/>
      <c r="C417" s="1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" customHeight="1">
      <c r="A418" s="9" t="n"/>
      <c r="B418" s="19" t="n"/>
      <c r="C418" s="1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" customHeight="1">
      <c r="A419" s="9" t="n"/>
      <c r="B419" s="19" t="n"/>
      <c r="C419" s="1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" customHeight="1">
      <c r="A420" s="9" t="n"/>
      <c r="B420" s="19" t="n"/>
      <c r="C420" s="1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" customHeight="1">
      <c r="A421" s="9" t="n"/>
      <c r="B421" s="19" t="n"/>
      <c r="C421" s="1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" customHeight="1">
      <c r="A422" s="9" t="n"/>
      <c r="B422" s="19" t="n"/>
      <c r="C422" s="1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" customHeight="1">
      <c r="A423" s="9" t="n"/>
      <c r="B423" s="19" t="n"/>
      <c r="C423" s="1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" customHeight="1">
      <c r="A424" s="9" t="n"/>
      <c r="B424" s="19" t="n"/>
      <c r="C424" s="1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" customHeight="1">
      <c r="A425" s="9" t="n"/>
      <c r="B425" s="19" t="n"/>
      <c r="C425" s="1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" customHeight="1">
      <c r="A426" s="9" t="n"/>
      <c r="B426" s="19" t="n"/>
      <c r="C426" s="1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" customHeight="1">
      <c r="A427" s="9" t="n"/>
      <c r="B427" s="19" t="n"/>
      <c r="C427" s="1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" customHeight="1">
      <c r="A428" s="9" t="n"/>
      <c r="B428" s="19" t="n"/>
      <c r="C428" s="1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" customHeight="1">
      <c r="A429" s="9" t="n"/>
      <c r="B429" s="19" t="n"/>
      <c r="C429" s="1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" customHeight="1">
      <c r="A430" s="9" t="n"/>
      <c r="B430" s="19" t="n"/>
      <c r="C430" s="1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" customHeight="1">
      <c r="A431" s="9" t="n"/>
      <c r="B431" s="19" t="n"/>
      <c r="C431" s="1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" customHeight="1">
      <c r="A432" s="9" t="n"/>
      <c r="B432" s="19" t="n"/>
      <c r="C432" s="1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" customHeight="1">
      <c r="A433" s="9" t="n"/>
      <c r="B433" s="19" t="n"/>
      <c r="C433" s="1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" customHeight="1">
      <c r="A434" s="9" t="n"/>
      <c r="B434" s="19" t="n"/>
      <c r="C434" s="1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" customHeight="1">
      <c r="A435" s="9" t="n"/>
      <c r="B435" s="19" t="n"/>
      <c r="C435" s="1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" customHeight="1">
      <c r="A436" s="9" t="n"/>
      <c r="B436" s="19" t="n"/>
      <c r="C436" s="1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" customHeight="1">
      <c r="A437" s="9" t="n"/>
      <c r="B437" s="19" t="n"/>
      <c r="C437" s="1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" customHeight="1">
      <c r="A438" s="9" t="n"/>
      <c r="B438" s="19" t="n"/>
      <c r="C438" s="1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" customHeight="1">
      <c r="A439" s="9" t="n"/>
      <c r="B439" s="19" t="n"/>
      <c r="C439" s="1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" customHeight="1">
      <c r="A440" s="9" t="n"/>
      <c r="B440" s="19" t="n"/>
      <c r="C440" s="1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" customHeight="1">
      <c r="A441" s="9" t="n"/>
      <c r="B441" s="19" t="n"/>
      <c r="C441" s="1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" customHeight="1">
      <c r="A442" s="9" t="n"/>
      <c r="B442" s="19" t="n"/>
      <c r="C442" s="1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" customHeight="1">
      <c r="A443" s="9" t="n"/>
      <c r="B443" s="19" t="n"/>
      <c r="C443" s="1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" customHeight="1">
      <c r="A444" s="9" t="n"/>
      <c r="B444" s="19" t="n"/>
      <c r="C444" s="1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" customHeight="1">
      <c r="A445" s="9" t="n"/>
      <c r="B445" s="19" t="n"/>
      <c r="C445" s="1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" customHeight="1">
      <c r="A446" s="9" t="n"/>
      <c r="B446" s="19" t="n"/>
      <c r="C446" s="1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" customHeight="1">
      <c r="A447" s="9" t="n"/>
      <c r="B447" s="19" t="n"/>
      <c r="C447" s="1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" customHeight="1">
      <c r="A448" s="9" t="n"/>
      <c r="B448" s="19" t="n"/>
      <c r="C448" s="1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" customHeight="1">
      <c r="A449" s="9" t="n"/>
      <c r="B449" s="19" t="n"/>
      <c r="C449" s="1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" customHeight="1">
      <c r="A450" s="9" t="n"/>
      <c r="B450" s="19" t="n"/>
      <c r="C450" s="1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" customHeight="1">
      <c r="A451" s="9" t="n"/>
      <c r="B451" s="19" t="n"/>
      <c r="C451" s="1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" customHeight="1">
      <c r="A452" s="9" t="n"/>
      <c r="B452" s="19" t="n"/>
      <c r="C452" s="1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" customHeight="1">
      <c r="A453" s="9" t="n"/>
      <c r="B453" s="19" t="n"/>
      <c r="C453" s="1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" customHeight="1">
      <c r="A454" s="9" t="n"/>
      <c r="B454" s="19" t="n"/>
      <c r="C454" s="1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" customHeight="1">
      <c r="A455" s="9" t="n"/>
      <c r="B455" s="19" t="n"/>
      <c r="C455" s="1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" customHeight="1">
      <c r="A456" s="9" t="n"/>
      <c r="B456" s="19" t="n"/>
      <c r="C456" s="1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" customHeight="1">
      <c r="A457" s="9" t="n"/>
      <c r="B457" s="19" t="n"/>
      <c r="C457" s="1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" customHeight="1">
      <c r="A458" s="9" t="n"/>
      <c r="B458" s="19" t="n"/>
      <c r="C458" s="1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" customHeight="1">
      <c r="A459" s="9" t="n"/>
      <c r="B459" s="19" t="n"/>
      <c r="C459" s="1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" customHeight="1">
      <c r="A460" s="9" t="n"/>
      <c r="B460" s="19" t="n"/>
      <c r="C460" s="1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" customHeight="1">
      <c r="A461" s="9" t="n"/>
      <c r="B461" s="19" t="n"/>
      <c r="C461" s="1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" customHeight="1">
      <c r="A462" s="9" t="n"/>
      <c r="B462" s="19" t="n"/>
      <c r="C462" s="1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" customHeight="1">
      <c r="A463" s="9" t="n"/>
      <c r="B463" s="19" t="n"/>
      <c r="C463" s="1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" customHeight="1">
      <c r="A464" s="9" t="n"/>
      <c r="B464" s="19" t="n"/>
      <c r="C464" s="1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" customHeight="1">
      <c r="A465" s="9" t="n"/>
      <c r="B465" s="19" t="n"/>
      <c r="C465" s="1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" customHeight="1">
      <c r="A466" s="9" t="n"/>
      <c r="B466" s="19" t="n"/>
      <c r="C466" s="1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" customHeight="1">
      <c r="A467" s="9" t="n"/>
      <c r="B467" s="19" t="n"/>
      <c r="C467" s="1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" customHeight="1">
      <c r="A468" s="9" t="n"/>
      <c r="B468" s="19" t="n"/>
      <c r="C468" s="1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" customHeight="1">
      <c r="A469" s="9" t="n"/>
      <c r="B469" s="19" t="n"/>
      <c r="C469" s="1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" customHeight="1">
      <c r="A470" s="9" t="n"/>
      <c r="B470" s="19" t="n"/>
      <c r="C470" s="1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" customHeight="1">
      <c r="A471" s="9" t="n"/>
      <c r="B471" s="19" t="n"/>
      <c r="C471" s="1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" customHeight="1">
      <c r="A472" s="9" t="n"/>
      <c r="B472" s="19" t="n"/>
      <c r="C472" s="1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" customHeight="1">
      <c r="A473" s="9" t="n"/>
      <c r="B473" s="19" t="n"/>
      <c r="C473" s="1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" customHeight="1">
      <c r="A474" s="9" t="n"/>
      <c r="B474" s="19" t="n"/>
      <c r="C474" s="1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" customHeight="1">
      <c r="A475" s="9" t="n"/>
      <c r="B475" s="19" t="n"/>
      <c r="C475" s="1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" customHeight="1">
      <c r="A476" s="9" t="n"/>
      <c r="B476" s="19" t="n"/>
      <c r="C476" s="1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" customHeight="1">
      <c r="A477" s="9" t="n"/>
      <c r="B477" s="19" t="n"/>
      <c r="C477" s="1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" customHeight="1">
      <c r="A478" s="9" t="n"/>
      <c r="B478" s="19" t="n"/>
      <c r="C478" s="1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" customHeight="1">
      <c r="A479" s="9" t="n"/>
      <c r="B479" s="19" t="n"/>
      <c r="C479" s="1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" customHeight="1">
      <c r="A480" s="9" t="n"/>
      <c r="B480" s="19" t="n"/>
      <c r="C480" s="1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" customHeight="1">
      <c r="A481" s="9" t="n"/>
      <c r="B481" s="19" t="n"/>
      <c r="C481" s="1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" customHeight="1">
      <c r="A482" s="9" t="n"/>
      <c r="B482" s="19" t="n"/>
      <c r="C482" s="1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" customHeight="1">
      <c r="A483" s="9" t="n"/>
      <c r="B483" s="19" t="n"/>
      <c r="C483" s="1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" customHeight="1">
      <c r="A484" s="9" t="n"/>
      <c r="B484" s="19" t="n"/>
      <c r="C484" s="1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" customHeight="1">
      <c r="A485" s="9" t="n"/>
      <c r="B485" s="19" t="n"/>
      <c r="C485" s="1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" customHeight="1">
      <c r="A486" s="9" t="n"/>
      <c r="B486" s="19" t="n"/>
      <c r="C486" s="1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" customHeight="1">
      <c r="A487" s="9" t="n"/>
      <c r="B487" s="19" t="n"/>
      <c r="C487" s="1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" customHeight="1">
      <c r="A488" s="9" t="n"/>
      <c r="B488" s="19" t="n"/>
      <c r="C488" s="1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" customHeight="1">
      <c r="A489" s="9" t="n"/>
      <c r="B489" s="19" t="n"/>
      <c r="C489" s="1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" customHeight="1">
      <c r="A490" s="9" t="n"/>
      <c r="B490" s="19" t="n"/>
      <c r="C490" s="1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" customHeight="1">
      <c r="A491" s="9" t="n"/>
      <c r="B491" s="19" t="n"/>
      <c r="C491" s="1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" customHeight="1">
      <c r="A492" s="9" t="n"/>
      <c r="B492" s="19" t="n"/>
      <c r="C492" s="1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" customHeight="1">
      <c r="A493" s="9" t="n"/>
      <c r="B493" s="19" t="n"/>
      <c r="C493" s="1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" customHeight="1">
      <c r="A494" s="9" t="n"/>
      <c r="B494" s="19" t="n"/>
      <c r="C494" s="1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" customHeight="1">
      <c r="A495" s="9" t="n"/>
      <c r="B495" s="19" t="n"/>
      <c r="C495" s="1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" customHeight="1">
      <c r="A496" s="9" t="n"/>
      <c r="B496" s="19" t="n"/>
      <c r="C496" s="1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" customHeight="1">
      <c r="A497" s="9" t="n"/>
      <c r="B497" s="19" t="n"/>
      <c r="C497" s="1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" customHeight="1">
      <c r="A498" s="9" t="n"/>
      <c r="B498" s="19" t="n"/>
      <c r="C498" s="1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" customHeight="1">
      <c r="A499" s="9" t="n"/>
      <c r="B499" s="19" t="n"/>
      <c r="C499" s="1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" customHeight="1">
      <c r="A500" s="9" t="n"/>
      <c r="B500" s="19" t="n"/>
      <c r="C500" s="1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" customHeight="1">
      <c r="A501" s="9" t="n"/>
      <c r="B501" s="19" t="n"/>
      <c r="C501" s="1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" customHeight="1">
      <c r="A502" s="9" t="n"/>
      <c r="B502" s="19" t="n"/>
      <c r="C502" s="1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" customHeight="1">
      <c r="A503" s="9" t="n"/>
      <c r="B503" s="19" t="n"/>
      <c r="C503" s="1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" customHeight="1">
      <c r="A504" s="9" t="n"/>
      <c r="B504" s="19" t="n"/>
      <c r="C504" s="1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" customHeight="1">
      <c r="A505" s="9" t="n"/>
      <c r="B505" s="19" t="n"/>
      <c r="C505" s="1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" customHeight="1">
      <c r="A506" s="9" t="n"/>
      <c r="B506" s="19" t="n"/>
      <c r="C506" s="1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" customHeight="1">
      <c r="A507" s="9" t="n"/>
      <c r="B507" s="19" t="n"/>
      <c r="C507" s="1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" customHeight="1">
      <c r="A508" s="9" t="n"/>
      <c r="B508" s="19" t="n"/>
      <c r="C508" s="1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" customHeight="1">
      <c r="A509" s="9" t="n"/>
      <c r="B509" s="19" t="n"/>
      <c r="C509" s="1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" customHeight="1">
      <c r="A510" s="9" t="n"/>
      <c r="B510" s="19" t="n"/>
      <c r="C510" s="1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" customHeight="1">
      <c r="A511" s="9" t="n"/>
      <c r="B511" s="19" t="n"/>
      <c r="C511" s="1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" customHeight="1">
      <c r="A512" s="9" t="n"/>
      <c r="B512" s="19" t="n"/>
      <c r="C512" s="1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" customHeight="1">
      <c r="A513" s="9" t="n"/>
      <c r="B513" s="19" t="n"/>
      <c r="C513" s="1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" customHeight="1">
      <c r="A514" s="9" t="n"/>
      <c r="B514" s="19" t="n"/>
      <c r="C514" s="1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" customHeight="1">
      <c r="A515" s="9" t="n"/>
      <c r="B515" s="19" t="n"/>
      <c r="C515" s="1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" customHeight="1">
      <c r="A516" s="9" t="n"/>
      <c r="B516" s="19" t="n"/>
      <c r="C516" s="1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" customHeight="1">
      <c r="A517" s="9" t="n"/>
      <c r="B517" s="19" t="n"/>
      <c r="C517" s="1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" customHeight="1">
      <c r="A518" s="9" t="n"/>
      <c r="B518" s="19" t="n"/>
      <c r="C518" s="1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" customHeight="1">
      <c r="A519" s="9" t="n"/>
      <c r="B519" s="19" t="n"/>
      <c r="C519" s="1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" customHeight="1">
      <c r="A520" s="9" t="n"/>
      <c r="B520" s="19" t="n"/>
      <c r="C520" s="1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" customHeight="1">
      <c r="A521" s="9" t="n"/>
      <c r="B521" s="19" t="n"/>
      <c r="C521" s="1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" customHeight="1">
      <c r="A522" s="9" t="n"/>
      <c r="B522" s="19" t="n"/>
      <c r="C522" s="1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" customHeight="1">
      <c r="A523" s="9" t="n"/>
      <c r="B523" s="19" t="n"/>
      <c r="C523" s="1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" customHeight="1">
      <c r="A524" s="9" t="n"/>
      <c r="B524" s="19" t="n"/>
      <c r="C524" s="1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" customHeight="1">
      <c r="A525" s="9" t="n"/>
      <c r="B525" s="19" t="n"/>
      <c r="C525" s="1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" customHeight="1">
      <c r="A526" s="9" t="n"/>
      <c r="B526" s="19" t="n"/>
      <c r="C526" s="1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" customHeight="1">
      <c r="A527" s="9" t="n"/>
      <c r="B527" s="19" t="n"/>
      <c r="C527" s="1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" customHeight="1">
      <c r="A528" s="9" t="n"/>
      <c r="B528" s="19" t="n"/>
      <c r="C528" s="1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" customHeight="1">
      <c r="A529" s="9" t="n"/>
      <c r="B529" s="19" t="n"/>
      <c r="C529" s="1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" customHeight="1">
      <c r="A530" s="9" t="n"/>
      <c r="B530" s="19" t="n"/>
      <c r="C530" s="1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" customHeight="1">
      <c r="A531" s="9" t="n"/>
      <c r="B531" s="19" t="n"/>
      <c r="C531" s="1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" customHeight="1">
      <c r="A532" s="9" t="n"/>
      <c r="B532" s="19" t="n"/>
      <c r="C532" s="1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" customHeight="1">
      <c r="A533" s="9" t="n"/>
      <c r="B533" s="19" t="n"/>
      <c r="C533" s="1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" customHeight="1">
      <c r="A534" s="9" t="n"/>
      <c r="B534" s="19" t="n"/>
      <c r="C534" s="1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" customHeight="1">
      <c r="A535" s="9" t="n"/>
      <c r="B535" s="19" t="n"/>
      <c r="C535" s="1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" customHeight="1">
      <c r="A536" s="9" t="n"/>
      <c r="B536" s="19" t="n"/>
      <c r="C536" s="1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" customHeight="1">
      <c r="A537" s="9" t="n"/>
      <c r="B537" s="19" t="n"/>
      <c r="C537" s="1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" customHeight="1">
      <c r="A538" s="9" t="n"/>
      <c r="B538" s="19" t="n"/>
      <c r="C538" s="1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" customHeight="1">
      <c r="A539" s="9" t="n"/>
      <c r="B539" s="19" t="n"/>
      <c r="C539" s="1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" customHeight="1">
      <c r="A540" s="9" t="n"/>
      <c r="B540" s="19" t="n"/>
      <c r="C540" s="1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" customHeight="1">
      <c r="A541" s="9" t="n"/>
      <c r="B541" s="19" t="n"/>
      <c r="C541" s="1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" customHeight="1">
      <c r="A542" s="9" t="n"/>
      <c r="B542" s="19" t="n"/>
      <c r="C542" s="1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" customHeight="1">
      <c r="A543" s="9" t="n"/>
      <c r="B543" s="19" t="n"/>
      <c r="C543" s="1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" customHeight="1">
      <c r="A544" s="9" t="n"/>
      <c r="B544" s="19" t="n"/>
      <c r="C544" s="1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" customHeight="1">
      <c r="A545" s="9" t="n"/>
      <c r="B545" s="19" t="n"/>
      <c r="C545" s="1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" customHeight="1">
      <c r="A546" s="9" t="n"/>
      <c r="B546" s="19" t="n"/>
      <c r="C546" s="1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" customHeight="1">
      <c r="A547" s="9" t="n"/>
      <c r="B547" s="19" t="n"/>
      <c r="C547" s="1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" customHeight="1">
      <c r="A548" s="9" t="n"/>
      <c r="B548" s="19" t="n"/>
      <c r="C548" s="1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" customHeight="1">
      <c r="A549" s="9" t="n"/>
      <c r="B549" s="19" t="n"/>
      <c r="C549" s="1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" customHeight="1">
      <c r="A550" s="9" t="n"/>
      <c r="B550" s="19" t="n"/>
      <c r="C550" s="1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" customHeight="1">
      <c r="A551" s="9" t="n"/>
      <c r="B551" s="19" t="n"/>
      <c r="C551" s="1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" customHeight="1">
      <c r="A552" s="9" t="n"/>
      <c r="B552" s="19" t="n"/>
      <c r="C552" s="1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" customHeight="1">
      <c r="A553" s="9" t="n"/>
      <c r="B553" s="19" t="n"/>
      <c r="C553" s="1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" customHeight="1">
      <c r="A554" s="9" t="n"/>
      <c r="B554" s="19" t="n"/>
      <c r="C554" s="1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" customHeight="1">
      <c r="A555" s="9" t="n"/>
      <c r="B555" s="19" t="n"/>
      <c r="C555" s="1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" customHeight="1">
      <c r="A556" s="9" t="n"/>
      <c r="B556" s="19" t="n"/>
      <c r="C556" s="1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" customHeight="1">
      <c r="A557" s="9" t="n"/>
      <c r="B557" s="19" t="n"/>
      <c r="C557" s="1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" customHeight="1">
      <c r="A558" s="9" t="n"/>
      <c r="B558" s="19" t="n"/>
      <c r="C558" s="1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" customHeight="1">
      <c r="A559" s="9" t="n"/>
      <c r="B559" s="19" t="n"/>
      <c r="C559" s="1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" customHeight="1">
      <c r="A560" s="9" t="n"/>
      <c r="B560" s="19" t="n"/>
      <c r="C560" s="1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" customHeight="1">
      <c r="A561" s="9" t="n"/>
      <c r="B561" s="19" t="n"/>
      <c r="C561" s="1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" customHeight="1">
      <c r="A562" s="9" t="n"/>
      <c r="B562" s="19" t="n"/>
      <c r="C562" s="1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" customHeight="1">
      <c r="A563" s="9" t="n"/>
      <c r="B563" s="19" t="n"/>
      <c r="C563" s="1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" customHeight="1">
      <c r="A564" s="9" t="n"/>
      <c r="B564" s="19" t="n"/>
      <c r="C564" s="1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" customHeight="1">
      <c r="A565" s="9" t="n"/>
      <c r="B565" s="19" t="n"/>
      <c r="C565" s="1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" customHeight="1">
      <c r="A566" s="9" t="n"/>
      <c r="B566" s="19" t="n"/>
      <c r="C566" s="1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" customHeight="1">
      <c r="A567" s="9" t="n"/>
      <c r="B567" s="19" t="n"/>
      <c r="C567" s="1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" customHeight="1">
      <c r="A568" s="9" t="n"/>
      <c r="B568" s="19" t="n"/>
      <c r="C568" s="1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" customHeight="1">
      <c r="A569" s="9" t="n"/>
      <c r="B569" s="19" t="n"/>
      <c r="C569" s="1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" customHeight="1">
      <c r="A570" s="9" t="n"/>
      <c r="B570" s="19" t="n"/>
      <c r="C570" s="1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" customHeight="1">
      <c r="A571" s="9" t="n"/>
      <c r="B571" s="19" t="n"/>
      <c r="C571" s="1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" customHeight="1">
      <c r="A572" s="9" t="n"/>
      <c r="B572" s="19" t="n"/>
      <c r="C572" s="1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" customHeight="1">
      <c r="A573" s="9" t="n"/>
      <c r="B573" s="19" t="n"/>
      <c r="C573" s="1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" customHeight="1">
      <c r="A574" s="9" t="n"/>
      <c r="B574" s="19" t="n"/>
      <c r="C574" s="1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" customHeight="1">
      <c r="A575" s="9" t="n"/>
      <c r="B575" s="19" t="n"/>
      <c r="C575" s="1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" customHeight="1">
      <c r="A576" s="9" t="n"/>
      <c r="B576" s="19" t="n"/>
      <c r="C576" s="1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" customHeight="1">
      <c r="A577" s="9" t="n"/>
      <c r="B577" s="19" t="n"/>
      <c r="C577" s="1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" customHeight="1">
      <c r="A578" s="9" t="n"/>
      <c r="B578" s="19" t="n"/>
      <c r="C578" s="1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" customHeight="1">
      <c r="A579" s="9" t="n"/>
      <c r="B579" s="19" t="n"/>
      <c r="C579" s="1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" customHeight="1">
      <c r="A580" s="9" t="n"/>
      <c r="B580" s="19" t="n"/>
      <c r="C580" s="1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" customHeight="1">
      <c r="A581" s="9" t="n"/>
      <c r="B581" s="19" t="n"/>
      <c r="C581" s="1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" customHeight="1">
      <c r="A582" s="9" t="n"/>
      <c r="B582" s="19" t="n"/>
      <c r="C582" s="1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" customHeight="1">
      <c r="A583" s="9" t="n"/>
      <c r="B583" s="19" t="n"/>
      <c r="C583" s="1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" customHeight="1">
      <c r="A584" s="9" t="n"/>
      <c r="B584" s="19" t="n"/>
      <c r="C584" s="1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" customHeight="1">
      <c r="A585" s="9" t="n"/>
      <c r="B585" s="19" t="n"/>
      <c r="C585" s="1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" customHeight="1">
      <c r="A586" s="9" t="n"/>
      <c r="B586" s="19" t="n"/>
      <c r="C586" s="1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" customHeight="1">
      <c r="A587" s="9" t="n"/>
      <c r="B587" s="19" t="n"/>
      <c r="C587" s="1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" customHeight="1">
      <c r="A588" s="9" t="n"/>
      <c r="B588" s="19" t="n"/>
      <c r="C588" s="1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" customHeight="1">
      <c r="A589" s="9" t="n"/>
      <c r="B589" s="19" t="n"/>
      <c r="C589" s="1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" customHeight="1">
      <c r="A590" s="9" t="n"/>
      <c r="B590" s="19" t="n"/>
      <c r="C590" s="1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" customHeight="1">
      <c r="A591" s="9" t="n"/>
      <c r="B591" s="19" t="n"/>
      <c r="C591" s="1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" customHeight="1">
      <c r="A592" s="9" t="n"/>
      <c r="B592" s="19" t="n"/>
      <c r="C592" s="1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" customHeight="1">
      <c r="A593" s="9" t="n"/>
      <c r="B593" s="19" t="n"/>
      <c r="C593" s="1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" customHeight="1">
      <c r="A594" s="9" t="n"/>
      <c r="B594" s="19" t="n"/>
      <c r="C594" s="1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" customHeight="1">
      <c r="A595" s="9" t="n"/>
      <c r="B595" s="19" t="n"/>
      <c r="C595" s="1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" customHeight="1">
      <c r="A596" s="9" t="n"/>
      <c r="B596" s="19" t="n"/>
      <c r="C596" s="1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" customHeight="1">
      <c r="A597" s="9" t="n"/>
      <c r="B597" s="19" t="n"/>
      <c r="C597" s="1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" customHeight="1">
      <c r="A598" s="9" t="n"/>
      <c r="B598" s="19" t="n"/>
      <c r="C598" s="1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" customHeight="1">
      <c r="A599" s="9" t="n"/>
      <c r="B599" s="19" t="n"/>
      <c r="C599" s="1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" customHeight="1">
      <c r="A600" s="9" t="n"/>
      <c r="B600" s="19" t="n"/>
      <c r="C600" s="1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" customHeight="1">
      <c r="A601" s="9" t="n"/>
      <c r="B601" s="19" t="n"/>
      <c r="C601" s="1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" customHeight="1">
      <c r="A602" s="9" t="n"/>
      <c r="B602" s="19" t="n"/>
      <c r="C602" s="1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" customHeight="1">
      <c r="A603" s="9" t="n"/>
      <c r="B603" s="19" t="n"/>
      <c r="C603" s="1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" customHeight="1">
      <c r="A604" s="9" t="n"/>
      <c r="B604" s="19" t="n"/>
      <c r="C604" s="1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" customHeight="1">
      <c r="A605" s="9" t="n"/>
      <c r="B605" s="19" t="n"/>
      <c r="C605" s="1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" customHeight="1">
      <c r="A606" s="9" t="n"/>
      <c r="B606" s="19" t="n"/>
      <c r="C606" s="1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" customHeight="1">
      <c r="A607" s="9" t="n"/>
      <c r="B607" s="19" t="n"/>
      <c r="C607" s="1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" customHeight="1">
      <c r="A608" s="9" t="n"/>
      <c r="B608" s="19" t="n"/>
      <c r="C608" s="1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" customHeight="1">
      <c r="A609" s="9" t="n"/>
      <c r="B609" s="19" t="n"/>
      <c r="C609" s="1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" customHeight="1">
      <c r="A610" s="9" t="n"/>
      <c r="B610" s="19" t="n"/>
      <c r="C610" s="1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" customHeight="1">
      <c r="A611" s="9" t="n"/>
      <c r="B611" s="19" t="n"/>
      <c r="C611" s="1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" customHeight="1">
      <c r="A612" s="9" t="n"/>
      <c r="B612" s="19" t="n"/>
      <c r="C612" s="1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" customHeight="1">
      <c r="A613" s="9" t="n"/>
      <c r="B613" s="19" t="n"/>
      <c r="C613" s="1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" customHeight="1">
      <c r="A614" s="9" t="n"/>
      <c r="B614" s="19" t="n"/>
      <c r="C614" s="1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" customHeight="1">
      <c r="A615" s="9" t="n"/>
      <c r="B615" s="19" t="n"/>
      <c r="C615" s="1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" customHeight="1">
      <c r="A616" s="9" t="n"/>
      <c r="B616" s="19" t="n"/>
      <c r="C616" s="1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" customHeight="1">
      <c r="A617" s="9" t="n"/>
      <c r="B617" s="19" t="n"/>
      <c r="C617" s="1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" customHeight="1">
      <c r="A618" s="9" t="n"/>
      <c r="B618" s="19" t="n"/>
      <c r="C618" s="1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" customHeight="1">
      <c r="A619" s="9" t="n"/>
      <c r="B619" s="19" t="n"/>
      <c r="C619" s="1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" customHeight="1">
      <c r="A620" s="9" t="n"/>
      <c r="B620" s="19" t="n"/>
      <c r="C620" s="1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" customHeight="1">
      <c r="A621" s="9" t="n"/>
      <c r="B621" s="19" t="n"/>
      <c r="C621" s="1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" customHeight="1">
      <c r="A622" s="9" t="n"/>
      <c r="B622" s="19" t="n"/>
      <c r="C622" s="1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" customHeight="1">
      <c r="A623" s="9" t="n"/>
      <c r="B623" s="19" t="n"/>
      <c r="C623" s="1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" customHeight="1">
      <c r="A624" s="9" t="n"/>
      <c r="B624" s="19" t="n"/>
      <c r="C624" s="1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" customHeight="1">
      <c r="A625" s="9" t="n"/>
      <c r="B625" s="19" t="n"/>
      <c r="C625" s="1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" customHeight="1">
      <c r="A626" s="9" t="n"/>
      <c r="B626" s="19" t="n"/>
      <c r="C626" s="1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" customHeight="1">
      <c r="A627" s="9" t="n"/>
      <c r="B627" s="19" t="n"/>
      <c r="C627" s="1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" customHeight="1">
      <c r="A628" s="9" t="n"/>
      <c r="B628" s="19" t="n"/>
      <c r="C628" s="1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" customHeight="1">
      <c r="A629" s="9" t="n"/>
      <c r="B629" s="19" t="n"/>
      <c r="C629" s="1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" customHeight="1">
      <c r="A630" s="9" t="n"/>
      <c r="B630" s="19" t="n"/>
      <c r="C630" s="1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" customHeight="1">
      <c r="A631" s="9" t="n"/>
      <c r="B631" s="19" t="n"/>
      <c r="C631" s="1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" customHeight="1">
      <c r="A632" s="9" t="n"/>
      <c r="B632" s="19" t="n"/>
      <c r="C632" s="1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" customHeight="1">
      <c r="A633" s="9" t="n"/>
      <c r="B633" s="19" t="n"/>
      <c r="C633" s="1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" customHeight="1">
      <c r="A634" s="9" t="n"/>
      <c r="B634" s="19" t="n"/>
      <c r="C634" s="1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" customHeight="1">
      <c r="A635" s="9" t="n"/>
      <c r="B635" s="19" t="n"/>
      <c r="C635" s="1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" customHeight="1">
      <c r="A636" s="9" t="n"/>
      <c r="B636" s="19" t="n"/>
      <c r="C636" s="1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" customHeight="1">
      <c r="A637" s="9" t="n"/>
      <c r="B637" s="19" t="n"/>
      <c r="C637" s="1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" customHeight="1">
      <c r="A638" s="9" t="n"/>
      <c r="B638" s="19" t="n"/>
      <c r="C638" s="1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" customHeight="1">
      <c r="A639" s="9" t="n"/>
      <c r="B639" s="19" t="n"/>
      <c r="C639" s="1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" customHeight="1">
      <c r="A640" s="9" t="n"/>
      <c r="B640" s="19" t="n"/>
      <c r="C640" s="1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" customHeight="1">
      <c r="A641" s="9" t="n"/>
      <c r="B641" s="19" t="n"/>
      <c r="C641" s="1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" customHeight="1">
      <c r="A642" s="9" t="n"/>
      <c r="B642" s="19" t="n"/>
      <c r="C642" s="1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" customHeight="1">
      <c r="A643" s="9" t="n"/>
      <c r="B643" s="19" t="n"/>
      <c r="C643" s="1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" customHeight="1">
      <c r="A644" s="9" t="n"/>
      <c r="B644" s="19" t="n"/>
      <c r="C644" s="1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" customHeight="1">
      <c r="A645" s="9" t="n"/>
      <c r="B645" s="19" t="n"/>
      <c r="C645" s="1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" customHeight="1">
      <c r="A646" s="9" t="n"/>
      <c r="B646" s="19" t="n"/>
      <c r="C646" s="1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" customHeight="1">
      <c r="A647" s="9" t="n"/>
      <c r="B647" s="19" t="n"/>
      <c r="C647" s="1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" customHeight="1">
      <c r="A648" s="9" t="n"/>
      <c r="B648" s="19" t="n"/>
      <c r="C648" s="1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" customHeight="1">
      <c r="A649" s="9" t="n"/>
      <c r="B649" s="19" t="n"/>
      <c r="C649" s="1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" customHeight="1">
      <c r="A650" s="9" t="n"/>
      <c r="B650" s="19" t="n"/>
      <c r="C650" s="1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" customHeight="1">
      <c r="A651" s="9" t="n"/>
      <c r="B651" s="19" t="n"/>
      <c r="C651" s="1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" customHeight="1">
      <c r="A652" s="9" t="n"/>
      <c r="B652" s="19" t="n"/>
      <c r="C652" s="1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" customHeight="1">
      <c r="A653" s="9" t="n"/>
      <c r="B653" s="19" t="n"/>
      <c r="C653" s="1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" customHeight="1">
      <c r="A654" s="9" t="n"/>
      <c r="B654" s="19" t="n"/>
      <c r="C654" s="1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" customHeight="1">
      <c r="A655" s="9" t="n"/>
      <c r="B655" s="19" t="n"/>
      <c r="C655" s="1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" customHeight="1">
      <c r="A656" s="9" t="n"/>
      <c r="B656" s="19" t="n"/>
      <c r="C656" s="1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" customHeight="1">
      <c r="A657" s="9" t="n"/>
      <c r="B657" s="19" t="n"/>
      <c r="C657" s="1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" customHeight="1">
      <c r="A658" s="9" t="n"/>
      <c r="B658" s="19" t="n"/>
      <c r="C658" s="1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" customHeight="1">
      <c r="A659" s="9" t="n"/>
      <c r="B659" s="19" t="n"/>
      <c r="C659" s="1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" customHeight="1">
      <c r="A660" s="9" t="n"/>
      <c r="B660" s="19" t="n"/>
      <c r="C660" s="1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" customHeight="1">
      <c r="A661" s="9" t="n"/>
      <c r="B661" s="19" t="n"/>
      <c r="C661" s="1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" customHeight="1">
      <c r="A662" s="9" t="n"/>
      <c r="B662" s="19" t="n"/>
      <c r="C662" s="1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" customHeight="1">
      <c r="A663" s="9" t="n"/>
      <c r="B663" s="19" t="n"/>
      <c r="C663" s="1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" customHeight="1">
      <c r="A664" s="9" t="n"/>
      <c r="B664" s="19" t="n"/>
      <c r="C664" s="1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" customHeight="1">
      <c r="A665" s="9" t="n"/>
      <c r="B665" s="19" t="n"/>
      <c r="C665" s="1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" customHeight="1">
      <c r="A666" s="9" t="n"/>
      <c r="B666" s="19" t="n"/>
      <c r="C666" s="1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" customHeight="1">
      <c r="A667" s="9" t="n"/>
      <c r="B667" s="19" t="n"/>
      <c r="C667" s="1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" customHeight="1">
      <c r="A668" s="9" t="n"/>
      <c r="B668" s="19" t="n"/>
      <c r="C668" s="1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" customHeight="1">
      <c r="A669" s="9" t="n"/>
      <c r="B669" s="19" t="n"/>
      <c r="C669" s="1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" customHeight="1">
      <c r="A670" s="9" t="n"/>
      <c r="B670" s="19" t="n"/>
      <c r="C670" s="1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" customHeight="1">
      <c r="A671" s="9" t="n"/>
      <c r="B671" s="19" t="n"/>
      <c r="C671" s="1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" customHeight="1">
      <c r="A672" s="9" t="n"/>
      <c r="B672" s="19" t="n"/>
      <c r="C672" s="1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" customHeight="1">
      <c r="A673" s="9" t="n"/>
      <c r="B673" s="19" t="n"/>
      <c r="C673" s="1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" customHeight="1">
      <c r="A674" s="9" t="n"/>
      <c r="B674" s="19" t="n"/>
      <c r="C674" s="1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" customHeight="1">
      <c r="A675" s="9" t="n"/>
      <c r="B675" s="19" t="n"/>
      <c r="C675" s="1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" customHeight="1">
      <c r="A676" s="9" t="n"/>
      <c r="B676" s="19" t="n"/>
      <c r="C676" s="1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" customHeight="1">
      <c r="A677" s="9" t="n"/>
      <c r="B677" s="19" t="n"/>
      <c r="C677" s="1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" customHeight="1">
      <c r="A678" s="9" t="n"/>
      <c r="B678" s="19" t="n"/>
      <c r="C678" s="1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" customHeight="1">
      <c r="A679" s="9" t="n"/>
      <c r="B679" s="19" t="n"/>
      <c r="C679" s="1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" customHeight="1">
      <c r="A680" s="9" t="n"/>
      <c r="B680" s="19" t="n"/>
      <c r="C680" s="1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" customHeight="1">
      <c r="A681" s="9" t="n"/>
      <c r="B681" s="19" t="n"/>
      <c r="C681" s="1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" customHeight="1">
      <c r="A682" s="9" t="n"/>
      <c r="B682" s="19" t="n"/>
      <c r="C682" s="1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" customHeight="1">
      <c r="A683" s="9" t="n"/>
      <c r="B683" s="19" t="n"/>
      <c r="C683" s="1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" customHeight="1">
      <c r="A684" s="9" t="n"/>
      <c r="B684" s="19" t="n"/>
      <c r="C684" s="1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" customHeight="1">
      <c r="A685" s="9" t="n"/>
      <c r="B685" s="19" t="n"/>
      <c r="C685" s="1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" customHeight="1">
      <c r="A686" s="9" t="n"/>
      <c r="B686" s="19" t="n"/>
      <c r="C686" s="1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" customHeight="1">
      <c r="A687" s="9" t="n"/>
      <c r="B687" s="19" t="n"/>
      <c r="C687" s="1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" customHeight="1">
      <c r="A688" s="9" t="n"/>
      <c r="B688" s="19" t="n"/>
      <c r="C688" s="1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" customHeight="1">
      <c r="A689" s="9" t="n"/>
      <c r="B689" s="19" t="n"/>
      <c r="C689" s="1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" customHeight="1">
      <c r="A690" s="9" t="n"/>
      <c r="B690" s="19" t="n"/>
      <c r="C690" s="1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" customHeight="1">
      <c r="A691" s="9" t="n"/>
      <c r="B691" s="19" t="n"/>
      <c r="C691" s="1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" customHeight="1">
      <c r="A692" s="9" t="n"/>
      <c r="B692" s="19" t="n"/>
      <c r="C692" s="1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" customHeight="1">
      <c r="A693" s="9" t="n"/>
      <c r="B693" s="19" t="n"/>
      <c r="C693" s="1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" customHeight="1">
      <c r="A694" s="9" t="n"/>
      <c r="B694" s="19" t="n"/>
      <c r="C694" s="1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" customHeight="1">
      <c r="A695" s="9" t="n"/>
      <c r="B695" s="19" t="n"/>
      <c r="C695" s="1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" customHeight="1">
      <c r="A696" s="9" t="n"/>
      <c r="B696" s="19" t="n"/>
      <c r="C696" s="1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" customHeight="1">
      <c r="A697" s="9" t="n"/>
      <c r="B697" s="19" t="n"/>
      <c r="C697" s="1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" customHeight="1">
      <c r="A698" s="9" t="n"/>
      <c r="B698" s="19" t="n"/>
      <c r="C698" s="1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" customHeight="1">
      <c r="A699" s="9" t="n"/>
      <c r="B699" s="19" t="n"/>
      <c r="C699" s="1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" customHeight="1">
      <c r="A700" s="9" t="n"/>
      <c r="B700" s="19" t="n"/>
      <c r="C700" s="1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" customHeight="1">
      <c r="A701" s="9" t="n"/>
      <c r="B701" s="19" t="n"/>
      <c r="C701" s="1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" customHeight="1">
      <c r="A702" s="9" t="n"/>
      <c r="B702" s="19" t="n"/>
      <c r="C702" s="1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" customHeight="1">
      <c r="A703" s="9" t="n"/>
      <c r="B703" s="19" t="n"/>
      <c r="C703" s="1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" customHeight="1">
      <c r="A704" s="9" t="n"/>
      <c r="B704" s="19" t="n"/>
      <c r="C704" s="1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" customHeight="1">
      <c r="A705" s="9" t="n"/>
      <c r="B705" s="19" t="n"/>
      <c r="C705" s="1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" customHeight="1">
      <c r="A706" s="9" t="n"/>
      <c r="B706" s="19" t="n"/>
      <c r="C706" s="1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" customHeight="1">
      <c r="A707" s="9" t="n"/>
      <c r="B707" s="19" t="n"/>
      <c r="C707" s="1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" customHeight="1">
      <c r="A708" s="9" t="n"/>
      <c r="B708" s="19" t="n"/>
      <c r="C708" s="1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" customHeight="1">
      <c r="A709" s="9" t="n"/>
      <c r="B709" s="19" t="n"/>
      <c r="C709" s="1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" customHeight="1">
      <c r="A710" s="9" t="n"/>
      <c r="B710" s="19" t="n"/>
      <c r="C710" s="1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" customHeight="1">
      <c r="A711" s="9" t="n"/>
      <c r="B711" s="19" t="n"/>
      <c r="C711" s="1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" customHeight="1">
      <c r="A712" s="9" t="n"/>
      <c r="B712" s="19" t="n"/>
      <c r="C712" s="1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" customHeight="1">
      <c r="A713" s="9" t="n"/>
      <c r="B713" s="19" t="n"/>
      <c r="C713" s="1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" customHeight="1">
      <c r="A714" s="9" t="n"/>
      <c r="B714" s="19" t="n"/>
      <c r="C714" s="1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" customHeight="1">
      <c r="A715" s="9" t="n"/>
      <c r="B715" s="19" t="n"/>
      <c r="C715" s="1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" customHeight="1">
      <c r="A716" s="9" t="n"/>
      <c r="B716" s="19" t="n"/>
      <c r="C716" s="1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" customHeight="1">
      <c r="A717" s="9" t="n"/>
      <c r="B717" s="19" t="n"/>
      <c r="C717" s="1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" customHeight="1">
      <c r="A718" s="9" t="n"/>
      <c r="B718" s="19" t="n"/>
      <c r="C718" s="1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" customHeight="1">
      <c r="A719" s="9" t="n"/>
      <c r="B719" s="19" t="n"/>
      <c r="C719" s="1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" customHeight="1">
      <c r="A720" s="9" t="n"/>
      <c r="B720" s="19" t="n"/>
      <c r="C720" s="1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" customHeight="1">
      <c r="A721" s="9" t="n"/>
      <c r="B721" s="19" t="n"/>
      <c r="C721" s="1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" customHeight="1">
      <c r="A722" s="9" t="n"/>
      <c r="B722" s="19" t="n"/>
      <c r="C722" s="1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" customHeight="1">
      <c r="A723" s="9" t="n"/>
      <c r="B723" s="19" t="n"/>
      <c r="C723" s="1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" customHeight="1">
      <c r="A724" s="9" t="n"/>
      <c r="B724" s="19" t="n"/>
      <c r="C724" s="1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" customHeight="1">
      <c r="A725" s="9" t="n"/>
      <c r="B725" s="19" t="n"/>
      <c r="C725" s="1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" customHeight="1">
      <c r="A726" s="9" t="n"/>
      <c r="B726" s="19" t="n"/>
      <c r="C726" s="1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" customHeight="1">
      <c r="A727" s="9" t="n"/>
      <c r="B727" s="19" t="n"/>
      <c r="C727" s="1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" customHeight="1">
      <c r="A728" s="9" t="n"/>
      <c r="B728" s="19" t="n"/>
      <c r="C728" s="1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" customHeight="1">
      <c r="A729" s="9" t="n"/>
      <c r="B729" s="19" t="n"/>
      <c r="C729" s="1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" customHeight="1">
      <c r="A730" s="9" t="n"/>
      <c r="B730" s="19" t="n"/>
      <c r="C730" s="1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" customHeight="1">
      <c r="A731" s="9" t="n"/>
      <c r="B731" s="19" t="n"/>
      <c r="C731" s="1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" customHeight="1">
      <c r="A732" s="9" t="n"/>
      <c r="B732" s="19" t="n"/>
      <c r="C732" s="1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" customHeight="1">
      <c r="A733" s="9" t="n"/>
      <c r="B733" s="19" t="n"/>
      <c r="C733" s="1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" customHeight="1">
      <c r="A734" s="9" t="n"/>
      <c r="B734" s="19" t="n"/>
      <c r="C734" s="1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" customHeight="1">
      <c r="A735" s="9" t="n"/>
      <c r="B735" s="19" t="n"/>
      <c r="C735" s="1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" customHeight="1">
      <c r="A736" s="9" t="n"/>
      <c r="B736" s="19" t="n"/>
      <c r="C736" s="1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" customHeight="1">
      <c r="A737" s="9" t="n"/>
      <c r="B737" s="19" t="n"/>
      <c r="C737" s="1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" customHeight="1">
      <c r="A738" s="9" t="n"/>
      <c r="B738" s="19" t="n"/>
      <c r="C738" s="1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" customHeight="1">
      <c r="A739" s="9" t="n"/>
      <c r="B739" s="19" t="n"/>
      <c r="C739" s="1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" customHeight="1">
      <c r="A740" s="9" t="n"/>
      <c r="B740" s="19" t="n"/>
      <c r="C740" s="1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" customHeight="1">
      <c r="A741" s="9" t="n"/>
      <c r="B741" s="19" t="n"/>
      <c r="C741" s="1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" customHeight="1">
      <c r="A742" s="9" t="n"/>
      <c r="B742" s="19" t="n"/>
      <c r="C742" s="1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" customHeight="1">
      <c r="A743" s="9" t="n"/>
      <c r="B743" s="19" t="n"/>
      <c r="C743" s="1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" customHeight="1">
      <c r="A744" s="9" t="n"/>
      <c r="B744" s="19" t="n"/>
      <c r="C744" s="1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" customHeight="1">
      <c r="A745" s="9" t="n"/>
      <c r="B745" s="19" t="n"/>
      <c r="C745" s="1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" customHeight="1">
      <c r="A746" s="9" t="n"/>
      <c r="B746" s="19" t="n"/>
      <c r="C746" s="1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" customHeight="1">
      <c r="A747" s="9" t="n"/>
      <c r="B747" s="19" t="n"/>
      <c r="C747" s="1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" customHeight="1">
      <c r="A748" s="9" t="n"/>
      <c r="B748" s="19" t="n"/>
      <c r="C748" s="1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" customHeight="1">
      <c r="A749" s="9" t="n"/>
      <c r="B749" s="19" t="n"/>
      <c r="C749" s="1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" customHeight="1">
      <c r="A750" s="9" t="n"/>
      <c r="B750" s="19" t="n"/>
      <c r="C750" s="1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" customHeight="1">
      <c r="A751" s="9" t="n"/>
      <c r="B751" s="19" t="n"/>
      <c r="C751" s="1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" customHeight="1">
      <c r="A752" s="9" t="n"/>
      <c r="B752" s="19" t="n"/>
      <c r="C752" s="1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" customHeight="1">
      <c r="A753" s="9" t="n"/>
      <c r="B753" s="19" t="n"/>
      <c r="C753" s="1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" customHeight="1">
      <c r="A754" s="9" t="n"/>
      <c r="B754" s="19" t="n"/>
      <c r="C754" s="1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" customHeight="1">
      <c r="A755" s="9" t="n"/>
      <c r="B755" s="19" t="n"/>
      <c r="C755" s="1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" customHeight="1">
      <c r="A756" s="9" t="n"/>
      <c r="B756" s="19" t="n"/>
      <c r="C756" s="1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" customHeight="1">
      <c r="A757" s="9" t="n"/>
      <c r="B757" s="19" t="n"/>
      <c r="C757" s="1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" customHeight="1">
      <c r="A758" s="9" t="n"/>
      <c r="B758" s="19" t="n"/>
      <c r="C758" s="1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" customHeight="1">
      <c r="A759" s="9" t="n"/>
      <c r="B759" s="19" t="n"/>
      <c r="C759" s="1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" customHeight="1">
      <c r="A760" s="9" t="n"/>
      <c r="B760" s="19" t="n"/>
      <c r="C760" s="1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" customHeight="1">
      <c r="A761" s="9" t="n"/>
      <c r="B761" s="19" t="n"/>
      <c r="C761" s="1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" customHeight="1">
      <c r="A762" s="9" t="n"/>
      <c r="B762" s="19" t="n"/>
      <c r="C762" s="1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" customHeight="1">
      <c r="A763" s="9" t="n"/>
      <c r="B763" s="19" t="n"/>
      <c r="C763" s="1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" customHeight="1">
      <c r="A764" s="9" t="n"/>
      <c r="B764" s="19" t="n"/>
      <c r="C764" s="1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" customHeight="1">
      <c r="A765" s="9" t="n"/>
      <c r="B765" s="19" t="n"/>
      <c r="C765" s="1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" customHeight="1">
      <c r="A766" s="9" t="n"/>
      <c r="B766" s="19" t="n"/>
      <c r="C766" s="1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" customHeight="1">
      <c r="A767" s="9" t="n"/>
      <c r="B767" s="19" t="n"/>
      <c r="C767" s="1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" customHeight="1">
      <c r="A768" s="9" t="n"/>
      <c r="B768" s="19" t="n"/>
      <c r="C768" s="1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" customHeight="1">
      <c r="A769" s="9" t="n"/>
      <c r="B769" s="19" t="n"/>
      <c r="C769" s="1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" customHeight="1">
      <c r="A770" s="9" t="n"/>
      <c r="B770" s="19" t="n"/>
      <c r="C770" s="1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" customHeight="1">
      <c r="A771" s="9" t="n"/>
      <c r="B771" s="19" t="n"/>
      <c r="C771" s="1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" customHeight="1">
      <c r="A772" s="9" t="n"/>
      <c r="B772" s="19" t="n"/>
      <c r="C772" s="1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" customHeight="1">
      <c r="A773" s="9" t="n"/>
      <c r="B773" s="19" t="n"/>
      <c r="C773" s="1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" customHeight="1">
      <c r="A774" s="9" t="n"/>
      <c r="B774" s="19" t="n"/>
      <c r="C774" s="1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" customHeight="1">
      <c r="A775" s="9" t="n"/>
      <c r="B775" s="19" t="n"/>
      <c r="C775" s="1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" customHeight="1">
      <c r="A776" s="9" t="n"/>
      <c r="B776" s="19" t="n"/>
      <c r="C776" s="1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" customHeight="1">
      <c r="A777" s="9" t="n"/>
      <c r="B777" s="19" t="n"/>
      <c r="C777" s="1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" customHeight="1">
      <c r="A778" s="9" t="n"/>
      <c r="B778" s="19" t="n"/>
      <c r="C778" s="1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" customHeight="1">
      <c r="A779" s="9" t="n"/>
      <c r="B779" s="19" t="n"/>
      <c r="C779" s="1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" customHeight="1">
      <c r="A780" s="9" t="n"/>
      <c r="B780" s="19" t="n"/>
      <c r="C780" s="1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" customHeight="1">
      <c r="A781" s="9" t="n"/>
      <c r="B781" s="19" t="n"/>
      <c r="C781" s="1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" customHeight="1">
      <c r="A782" s="9" t="n"/>
      <c r="B782" s="19" t="n"/>
      <c r="C782" s="1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" customHeight="1">
      <c r="A783" s="9" t="n"/>
      <c r="B783" s="19" t="n"/>
      <c r="C783" s="1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" customHeight="1">
      <c r="A784" s="9" t="n"/>
      <c r="B784" s="19" t="n"/>
      <c r="C784" s="1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" customHeight="1">
      <c r="A785" s="9" t="n"/>
      <c r="B785" s="19" t="n"/>
      <c r="C785" s="1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" customHeight="1">
      <c r="A786" s="9" t="n"/>
      <c r="B786" s="19" t="n"/>
      <c r="C786" s="1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" customHeight="1">
      <c r="A787" s="9" t="n"/>
      <c r="B787" s="19" t="n"/>
      <c r="C787" s="1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" customHeight="1">
      <c r="A788" s="9" t="n"/>
      <c r="B788" s="19" t="n"/>
      <c r="C788" s="1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" customHeight="1">
      <c r="A789" s="9" t="n"/>
      <c r="B789" s="19" t="n"/>
      <c r="C789" s="1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" customHeight="1">
      <c r="A790" s="9" t="n"/>
      <c r="B790" s="19" t="n"/>
      <c r="C790" s="1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" customHeight="1">
      <c r="A791" s="9" t="n"/>
      <c r="B791" s="19" t="n"/>
      <c r="C791" s="1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" customHeight="1">
      <c r="A792" s="9" t="n"/>
      <c r="B792" s="19" t="n"/>
      <c r="C792" s="1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" customHeight="1">
      <c r="A793" s="9" t="n"/>
      <c r="B793" s="19" t="n"/>
      <c r="C793" s="1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" customHeight="1">
      <c r="A794" s="9" t="n"/>
      <c r="B794" s="19" t="n"/>
      <c r="C794" s="1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" customHeight="1">
      <c r="A795" s="9" t="n"/>
      <c r="B795" s="19" t="n"/>
      <c r="C795" s="1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" customHeight="1">
      <c r="A796" s="9" t="n"/>
      <c r="B796" s="19" t="n"/>
      <c r="C796" s="1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" customHeight="1">
      <c r="A797" s="9" t="n"/>
      <c r="B797" s="19" t="n"/>
      <c r="C797" s="1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" customHeight="1">
      <c r="A798" s="9" t="n"/>
      <c r="B798" s="19" t="n"/>
      <c r="C798" s="1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" customHeight="1">
      <c r="A799" s="9" t="n"/>
      <c r="B799" s="19" t="n"/>
      <c r="C799" s="1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" customHeight="1">
      <c r="A800" s="9" t="n"/>
      <c r="B800" s="19" t="n"/>
      <c r="C800" s="1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" customHeight="1">
      <c r="A801" s="9" t="n"/>
      <c r="B801" s="19" t="n"/>
      <c r="C801" s="1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" customHeight="1">
      <c r="A802" s="9" t="n"/>
      <c r="B802" s="19" t="n"/>
      <c r="C802" s="1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" customHeight="1">
      <c r="A803" s="9" t="n"/>
      <c r="B803" s="19" t="n"/>
      <c r="C803" s="1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" customHeight="1">
      <c r="A804" s="9" t="n"/>
      <c r="B804" s="19" t="n"/>
      <c r="C804" s="1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" customHeight="1">
      <c r="A805" s="9" t="n"/>
      <c r="B805" s="19" t="n"/>
      <c r="C805" s="1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" customHeight="1">
      <c r="A806" s="9" t="n"/>
      <c r="B806" s="19" t="n"/>
      <c r="C806" s="1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" customHeight="1">
      <c r="A807" s="9" t="n"/>
      <c r="B807" s="19" t="n"/>
      <c r="C807" s="1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" customHeight="1">
      <c r="A808" s="9" t="n"/>
      <c r="B808" s="19" t="n"/>
      <c r="C808" s="1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" customHeight="1">
      <c r="A809" s="9" t="n"/>
      <c r="B809" s="19" t="n"/>
      <c r="C809" s="1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" customHeight="1">
      <c r="A810" s="9" t="n"/>
      <c r="B810" s="19" t="n"/>
      <c r="C810" s="1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" customHeight="1">
      <c r="A811" s="9" t="n"/>
      <c r="B811" s="19" t="n"/>
      <c r="C811" s="1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" customHeight="1">
      <c r="A812" s="9" t="n"/>
      <c r="B812" s="19" t="n"/>
      <c r="C812" s="1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" customHeight="1">
      <c r="A813" s="9" t="n"/>
      <c r="B813" s="19" t="n"/>
      <c r="C813" s="1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" customHeight="1">
      <c r="A814" s="9" t="n"/>
      <c r="B814" s="19" t="n"/>
      <c r="C814" s="1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" customHeight="1">
      <c r="A815" s="9" t="n"/>
      <c r="B815" s="19" t="n"/>
      <c r="C815" s="1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" customHeight="1">
      <c r="A816" s="9" t="n"/>
      <c r="B816" s="19" t="n"/>
      <c r="C816" s="1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" customHeight="1">
      <c r="A817" s="9" t="n"/>
      <c r="B817" s="19" t="n"/>
      <c r="C817" s="1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" customHeight="1">
      <c r="A818" s="9" t="n"/>
      <c r="B818" s="19" t="n"/>
      <c r="C818" s="1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" customHeight="1">
      <c r="A819" s="9" t="n"/>
      <c r="B819" s="19" t="n"/>
      <c r="C819" s="1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" customHeight="1">
      <c r="A820" s="9" t="n"/>
      <c r="B820" s="19" t="n"/>
      <c r="C820" s="1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" customHeight="1">
      <c r="A821" s="9" t="n"/>
      <c r="B821" s="19" t="n"/>
      <c r="C821" s="1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" customHeight="1">
      <c r="A822" s="9" t="n"/>
      <c r="B822" s="19" t="n"/>
      <c r="C822" s="1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" customHeight="1">
      <c r="A823" s="9" t="n"/>
      <c r="B823" s="19" t="n"/>
      <c r="C823" s="1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" customHeight="1">
      <c r="A824" s="9" t="n"/>
      <c r="B824" s="19" t="n"/>
      <c r="C824" s="1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" customHeight="1">
      <c r="A825" s="9" t="n"/>
      <c r="B825" s="19" t="n"/>
      <c r="C825" s="1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" customHeight="1">
      <c r="A826" s="9" t="n"/>
      <c r="B826" s="19" t="n"/>
      <c r="C826" s="1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" customHeight="1">
      <c r="A827" s="9" t="n"/>
      <c r="B827" s="19" t="n"/>
      <c r="C827" s="1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" customHeight="1">
      <c r="A828" s="9" t="n"/>
      <c r="B828" s="19" t="n"/>
      <c r="C828" s="1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" customHeight="1">
      <c r="A829" s="9" t="n"/>
      <c r="B829" s="19" t="n"/>
      <c r="C829" s="1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" customHeight="1">
      <c r="A830" s="9" t="n"/>
      <c r="B830" s="19" t="n"/>
      <c r="C830" s="1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" customHeight="1">
      <c r="A831" s="9" t="n"/>
      <c r="B831" s="19" t="n"/>
      <c r="C831" s="1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" customHeight="1">
      <c r="A832" s="9" t="n"/>
      <c r="B832" s="19" t="n"/>
      <c r="C832" s="1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" customHeight="1">
      <c r="A833" s="9" t="n"/>
      <c r="B833" s="19" t="n"/>
      <c r="C833" s="1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" customHeight="1">
      <c r="A834" s="9" t="n"/>
      <c r="B834" s="19" t="n"/>
      <c r="C834" s="1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" customHeight="1">
      <c r="A835" s="9" t="n"/>
      <c r="B835" s="19" t="n"/>
      <c r="C835" s="1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" customHeight="1">
      <c r="A836" s="9" t="n"/>
      <c r="B836" s="19" t="n"/>
      <c r="C836" s="1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" customHeight="1">
      <c r="A837" s="9" t="n"/>
      <c r="B837" s="19" t="n"/>
      <c r="C837" s="1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" customHeight="1">
      <c r="A838" s="9" t="n"/>
      <c r="B838" s="19" t="n"/>
      <c r="C838" s="1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" customHeight="1">
      <c r="A839" s="9" t="n"/>
      <c r="B839" s="19" t="n"/>
      <c r="C839" s="1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" customHeight="1">
      <c r="A840" s="9" t="n"/>
      <c r="B840" s="19" t="n"/>
      <c r="C840" s="1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" customHeight="1">
      <c r="A841" s="9" t="n"/>
      <c r="B841" s="19" t="n"/>
      <c r="C841" s="1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" customHeight="1">
      <c r="A842" s="9" t="n"/>
      <c r="B842" s="19" t="n"/>
      <c r="C842" s="1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" customHeight="1">
      <c r="A843" s="9" t="n"/>
      <c r="B843" s="19" t="n"/>
      <c r="C843" s="1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" customHeight="1">
      <c r="A844" s="9" t="n"/>
      <c r="B844" s="19" t="n"/>
      <c r="C844" s="1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" customHeight="1">
      <c r="A845" s="9" t="n"/>
      <c r="B845" s="19" t="n"/>
      <c r="C845" s="1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" customHeight="1">
      <c r="A846" s="9" t="n"/>
      <c r="B846" s="19" t="n"/>
      <c r="C846" s="1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" customHeight="1">
      <c r="A847" s="9" t="n"/>
      <c r="B847" s="19" t="n"/>
      <c r="C847" s="1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" customHeight="1">
      <c r="A848" s="9" t="n"/>
      <c r="B848" s="19" t="n"/>
      <c r="C848" s="1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" customHeight="1">
      <c r="A849" s="9" t="n"/>
      <c r="B849" s="19" t="n"/>
      <c r="C849" s="1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" customHeight="1">
      <c r="A850" s="9" t="n"/>
      <c r="B850" s="19" t="n"/>
      <c r="C850" s="1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" customHeight="1">
      <c r="A851" s="9" t="n"/>
      <c r="B851" s="19" t="n"/>
      <c r="C851" s="1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" customHeight="1">
      <c r="A852" s="9" t="n"/>
      <c r="B852" s="19" t="n"/>
      <c r="C852" s="1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" customHeight="1">
      <c r="A853" s="9" t="n"/>
      <c r="B853" s="19" t="n"/>
      <c r="C853" s="1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" customHeight="1">
      <c r="A854" s="9" t="n"/>
      <c r="B854" s="19" t="n"/>
      <c r="C854" s="1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" customHeight="1">
      <c r="A855" s="9" t="n"/>
      <c r="B855" s="19" t="n"/>
      <c r="C855" s="1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" customHeight="1">
      <c r="A856" s="9" t="n"/>
      <c r="B856" s="19" t="n"/>
      <c r="C856" s="1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" customHeight="1">
      <c r="A857" s="9" t="n"/>
      <c r="B857" s="19" t="n"/>
      <c r="C857" s="1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" customHeight="1">
      <c r="A858" s="9" t="n"/>
      <c r="B858" s="19" t="n"/>
      <c r="C858" s="1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" customHeight="1">
      <c r="A859" s="9" t="n"/>
      <c r="B859" s="19" t="n"/>
      <c r="C859" s="1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" customHeight="1">
      <c r="A860" s="9" t="n"/>
      <c r="B860" s="19" t="n"/>
      <c r="C860" s="1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" customHeight="1">
      <c r="A861" s="9" t="n"/>
      <c r="B861" s="19" t="n"/>
      <c r="C861" s="1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" customHeight="1">
      <c r="A862" s="9" t="n"/>
      <c r="B862" s="19" t="n"/>
      <c r="C862" s="1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" customHeight="1">
      <c r="A863" s="9" t="n"/>
      <c r="B863" s="19" t="n"/>
      <c r="C863" s="1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" customHeight="1">
      <c r="A864" s="9" t="n"/>
      <c r="B864" s="19" t="n"/>
      <c r="C864" s="1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" customHeight="1">
      <c r="A865" s="9" t="n"/>
      <c r="B865" s="19" t="n"/>
      <c r="C865" s="1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" customHeight="1">
      <c r="A866" s="9" t="n"/>
      <c r="B866" s="19" t="n"/>
      <c r="C866" s="1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" customHeight="1">
      <c r="A867" s="9" t="n"/>
      <c r="B867" s="19" t="n"/>
      <c r="C867" s="1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" customHeight="1">
      <c r="A868" s="9" t="n"/>
      <c r="B868" s="19" t="n"/>
      <c r="C868" s="1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" customHeight="1">
      <c r="A869" s="9" t="n"/>
      <c r="B869" s="19" t="n"/>
      <c r="C869" s="1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" customHeight="1">
      <c r="A870" s="9" t="n"/>
      <c r="B870" s="19" t="n"/>
      <c r="C870" s="1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" customHeight="1">
      <c r="A871" s="9" t="n"/>
      <c r="B871" s="19" t="n"/>
      <c r="C871" s="1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" customHeight="1">
      <c r="A872" s="9" t="n"/>
      <c r="B872" s="19" t="n"/>
      <c r="C872" s="1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" customHeight="1">
      <c r="A873" s="9" t="n"/>
      <c r="B873" s="19" t="n"/>
      <c r="C873" s="1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" customHeight="1">
      <c r="A874" s="9" t="n"/>
      <c r="B874" s="19" t="n"/>
      <c r="C874" s="1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" customHeight="1">
      <c r="A875" s="9" t="n"/>
      <c r="B875" s="19" t="n"/>
      <c r="C875" s="1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" customHeight="1">
      <c r="A876" s="9" t="n"/>
      <c r="B876" s="19" t="n"/>
      <c r="C876" s="1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" customHeight="1">
      <c r="A877" s="9" t="n"/>
      <c r="B877" s="19" t="n"/>
      <c r="C877" s="1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" customHeight="1">
      <c r="A878" s="9" t="n"/>
      <c r="B878" s="19" t="n"/>
      <c r="C878" s="1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" customHeight="1">
      <c r="A879" s="9" t="n"/>
      <c r="B879" s="19" t="n"/>
      <c r="C879" s="1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" customHeight="1">
      <c r="A880" s="9" t="n"/>
      <c r="B880" s="19" t="n"/>
      <c r="C880" s="1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" customHeight="1">
      <c r="A881" s="9" t="n"/>
      <c r="B881" s="19" t="n"/>
      <c r="C881" s="1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" customHeight="1">
      <c r="A882" s="9" t="n"/>
      <c r="B882" s="19" t="n"/>
      <c r="C882" s="1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" customHeight="1">
      <c r="A883" s="9" t="n"/>
      <c r="B883" s="19" t="n"/>
      <c r="C883" s="1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" customHeight="1">
      <c r="A884" s="9" t="n"/>
      <c r="B884" s="19" t="n"/>
      <c r="C884" s="1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" customHeight="1">
      <c r="A885" s="9" t="n"/>
      <c r="B885" s="19" t="n"/>
      <c r="C885" s="1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" customHeight="1">
      <c r="A886" s="9" t="n"/>
      <c r="B886" s="19" t="n"/>
      <c r="C886" s="1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" customHeight="1">
      <c r="A887" s="9" t="n"/>
      <c r="B887" s="19" t="n"/>
      <c r="C887" s="1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" customHeight="1">
      <c r="A888" s="9" t="n"/>
      <c r="B888" s="19" t="n"/>
      <c r="C888" s="1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" customHeight="1">
      <c r="A889" s="9" t="n"/>
      <c r="B889" s="19" t="n"/>
      <c r="C889" s="1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" customHeight="1">
      <c r="A890" s="9" t="n"/>
      <c r="B890" s="19" t="n"/>
      <c r="C890" s="1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" customHeight="1">
      <c r="A891" s="9" t="n"/>
      <c r="B891" s="19" t="n"/>
      <c r="C891" s="1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" customHeight="1">
      <c r="A892" s="9" t="n"/>
      <c r="B892" s="19" t="n"/>
      <c r="C892" s="1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" customHeight="1">
      <c r="A893" s="9" t="n"/>
      <c r="B893" s="19" t="n"/>
      <c r="C893" s="1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" customHeight="1">
      <c r="A894" s="9" t="n"/>
      <c r="B894" s="19" t="n"/>
      <c r="C894" s="1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" customHeight="1">
      <c r="A895" s="9" t="n"/>
      <c r="B895" s="19" t="n"/>
      <c r="C895" s="1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" customHeight="1">
      <c r="A896" s="9" t="n"/>
      <c r="B896" s="19" t="n"/>
      <c r="C896" s="1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" customHeight="1">
      <c r="A897" s="9" t="n"/>
      <c r="B897" s="19" t="n"/>
      <c r="C897" s="1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" customHeight="1">
      <c r="A898" s="9" t="n"/>
      <c r="B898" s="19" t="n"/>
      <c r="C898" s="1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" customHeight="1">
      <c r="A899" s="9" t="n"/>
      <c r="B899" s="19" t="n"/>
      <c r="C899" s="1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" customHeight="1">
      <c r="A900" s="9" t="n"/>
      <c r="B900" s="19" t="n"/>
      <c r="C900" s="1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" customHeight="1">
      <c r="A901" s="9" t="n"/>
      <c r="B901" s="19" t="n"/>
      <c r="C901" s="1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" customHeight="1">
      <c r="A902" s="9" t="n"/>
      <c r="B902" s="19" t="n"/>
      <c r="C902" s="1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" customHeight="1">
      <c r="A903" s="9" t="n"/>
      <c r="B903" s="19" t="n"/>
      <c r="C903" s="1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" customHeight="1">
      <c r="A904" s="9" t="n"/>
      <c r="B904" s="19" t="n"/>
      <c r="C904" s="1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" customHeight="1">
      <c r="A905" s="9" t="n"/>
      <c r="B905" s="19" t="n"/>
      <c r="C905" s="1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" customHeight="1">
      <c r="A906" s="9" t="n"/>
      <c r="B906" s="19" t="n"/>
      <c r="C906" s="1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" customHeight="1">
      <c r="A907" s="9" t="n"/>
      <c r="B907" s="19" t="n"/>
      <c r="C907" s="1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" customHeight="1">
      <c r="A908" s="9" t="n"/>
      <c r="B908" s="19" t="n"/>
      <c r="C908" s="1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" customHeight="1">
      <c r="A909" s="9" t="n"/>
      <c r="B909" s="19" t="n"/>
      <c r="C909" s="1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" customHeight="1">
      <c r="A910" s="9" t="n"/>
      <c r="B910" s="19" t="n"/>
      <c r="C910" s="1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" customHeight="1">
      <c r="A911" s="9" t="n"/>
      <c r="B911" s="19" t="n"/>
      <c r="C911" s="1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" customHeight="1">
      <c r="A912" s="9" t="n"/>
      <c r="B912" s="19" t="n"/>
      <c r="C912" s="1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" customHeight="1">
      <c r="A913" s="9" t="n"/>
      <c r="B913" s="19" t="n"/>
      <c r="C913" s="1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" customHeight="1">
      <c r="A914" s="9" t="n"/>
      <c r="B914" s="19" t="n"/>
      <c r="C914" s="1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" customHeight="1">
      <c r="A915" s="9" t="n"/>
      <c r="B915" s="19" t="n"/>
      <c r="C915" s="1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" customHeight="1">
      <c r="A916" s="9" t="n"/>
      <c r="B916" s="19" t="n"/>
      <c r="C916" s="1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" customHeight="1">
      <c r="A917" s="9" t="n"/>
      <c r="B917" s="19" t="n"/>
      <c r="C917" s="1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" customHeight="1">
      <c r="A918" s="9" t="n"/>
      <c r="B918" s="19" t="n"/>
      <c r="C918" s="1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" customHeight="1">
      <c r="A919" s="9" t="n"/>
      <c r="B919" s="19" t="n"/>
      <c r="C919" s="1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" customHeight="1">
      <c r="A920" s="9" t="n"/>
      <c r="B920" s="19" t="n"/>
      <c r="C920" s="1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" customHeight="1">
      <c r="A921" s="9" t="n"/>
      <c r="B921" s="19" t="n"/>
      <c r="C921" s="1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" customHeight="1">
      <c r="A922" s="9" t="n"/>
      <c r="B922" s="19" t="n"/>
      <c r="C922" s="1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" customHeight="1">
      <c r="A923" s="9" t="n"/>
      <c r="B923" s="19" t="n"/>
      <c r="C923" s="1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" customHeight="1">
      <c r="A924" s="9" t="n"/>
      <c r="B924" s="19" t="n"/>
      <c r="C924" s="1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" customHeight="1">
      <c r="A925" s="9" t="n"/>
      <c r="B925" s="19" t="n"/>
      <c r="C925" s="1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" customHeight="1">
      <c r="A926" s="9" t="n"/>
      <c r="B926" s="19" t="n"/>
      <c r="C926" s="1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" customHeight="1">
      <c r="A927" s="9" t="n"/>
      <c r="B927" s="19" t="n"/>
      <c r="C927" s="1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" customHeight="1">
      <c r="A928" s="9" t="n"/>
      <c r="B928" s="19" t="n"/>
      <c r="C928" s="1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" customHeight="1">
      <c r="A929" s="9" t="n"/>
      <c r="B929" s="19" t="n"/>
      <c r="C929" s="1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" customHeight="1">
      <c r="A930" s="9" t="n"/>
      <c r="B930" s="19" t="n"/>
      <c r="C930" s="1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" customHeight="1">
      <c r="A931" s="9" t="n"/>
      <c r="B931" s="19" t="n"/>
      <c r="C931" s="1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" customHeight="1">
      <c r="A932" s="9" t="n"/>
      <c r="B932" s="19" t="n"/>
      <c r="C932" s="1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" customHeight="1">
      <c r="A933" s="9" t="n"/>
      <c r="B933" s="19" t="n"/>
      <c r="C933" s="1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" customHeight="1">
      <c r="A934" s="9" t="n"/>
      <c r="B934" s="19" t="n"/>
      <c r="C934" s="1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" customHeight="1">
      <c r="A935" s="9" t="n"/>
      <c r="B935" s="19" t="n"/>
      <c r="C935" s="1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" customHeight="1">
      <c r="A936" s="9" t="n"/>
      <c r="B936" s="19" t="n"/>
      <c r="C936" s="1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" customHeight="1">
      <c r="A937" s="9" t="n"/>
      <c r="B937" s="19" t="n"/>
      <c r="C937" s="1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" customHeight="1">
      <c r="A938" s="9" t="n"/>
      <c r="B938" s="19" t="n"/>
      <c r="C938" s="1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" customHeight="1">
      <c r="A939" s="9" t="n"/>
      <c r="B939" s="19" t="n"/>
      <c r="C939" s="1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" customHeight="1">
      <c r="A940" s="9" t="n"/>
      <c r="B940" s="19" t="n"/>
      <c r="C940" s="1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" customHeight="1">
      <c r="A941" s="9" t="n"/>
      <c r="B941" s="19" t="n"/>
      <c r="C941" s="1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" customHeight="1">
      <c r="A942" s="9" t="n"/>
      <c r="B942" s="19" t="n"/>
      <c r="C942" s="1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" customHeight="1">
      <c r="A943" s="9" t="n"/>
      <c r="B943" s="19" t="n"/>
      <c r="C943" s="1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" customHeight="1">
      <c r="A944" s="9" t="n"/>
      <c r="B944" s="19" t="n"/>
      <c r="C944" s="1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" customHeight="1">
      <c r="A945" s="9" t="n"/>
      <c r="B945" s="19" t="n"/>
      <c r="C945" s="1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" customHeight="1">
      <c r="A946" s="9" t="n"/>
      <c r="B946" s="19" t="n"/>
      <c r="C946" s="1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" customHeight="1">
      <c r="A947" s="9" t="n"/>
      <c r="B947" s="19" t="n"/>
      <c r="C947" s="1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" customHeight="1">
      <c r="A948" s="9" t="n"/>
      <c r="B948" s="19" t="n"/>
      <c r="C948" s="1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" customHeight="1">
      <c r="A949" s="9" t="n"/>
      <c r="B949" s="19" t="n"/>
      <c r="C949" s="1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" customHeight="1">
      <c r="A950" s="9" t="n"/>
      <c r="B950" s="19" t="n"/>
      <c r="C950" s="1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" customHeight="1">
      <c r="A951" s="9" t="n"/>
      <c r="B951" s="19" t="n"/>
      <c r="C951" s="1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" customHeight="1">
      <c r="A952" s="9" t="n"/>
      <c r="B952" s="19" t="n"/>
      <c r="C952" s="1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" customHeight="1">
      <c r="A953" s="9" t="n"/>
      <c r="B953" s="19" t="n"/>
      <c r="C953" s="1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" customHeight="1">
      <c r="A954" s="9" t="n"/>
      <c r="B954" s="19" t="n"/>
      <c r="C954" s="1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" customHeight="1">
      <c r="A955" s="9" t="n"/>
      <c r="B955" s="19" t="n"/>
      <c r="C955" s="1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" customHeight="1">
      <c r="A956" s="9" t="n"/>
      <c r="B956" s="19" t="n"/>
      <c r="C956" s="1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" customHeight="1">
      <c r="A957" s="9" t="n"/>
      <c r="B957" s="19" t="n"/>
      <c r="C957" s="1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" customHeight="1">
      <c r="A958" s="9" t="n"/>
      <c r="B958" s="19" t="n"/>
      <c r="C958" s="1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" customHeight="1">
      <c r="A959" s="9" t="n"/>
      <c r="B959" s="19" t="n"/>
      <c r="C959" s="1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" customHeight="1">
      <c r="A960" s="9" t="n"/>
      <c r="B960" s="19" t="n"/>
      <c r="C960" s="1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" customHeight="1">
      <c r="A961" s="9" t="n"/>
      <c r="B961" s="19" t="n"/>
      <c r="C961" s="1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" customHeight="1">
      <c r="A962" s="9" t="n"/>
      <c r="B962" s="19" t="n"/>
      <c r="C962" s="1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" customHeight="1">
      <c r="A963" s="9" t="n"/>
      <c r="B963" s="19" t="n"/>
      <c r="C963" s="1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" customHeight="1">
      <c r="A964" s="9" t="n"/>
      <c r="B964" s="19" t="n"/>
      <c r="C964" s="1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" customHeight="1">
      <c r="A965" s="9" t="n"/>
      <c r="B965" s="19" t="n"/>
      <c r="C965" s="1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" customHeight="1">
      <c r="A966" s="9" t="n"/>
      <c r="B966" s="19" t="n"/>
      <c r="C966" s="1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" customHeight="1">
      <c r="A967" s="9" t="n"/>
      <c r="B967" s="19" t="n"/>
      <c r="C967" s="1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" customHeight="1">
      <c r="A968" s="9" t="n"/>
      <c r="B968" s="19" t="n"/>
      <c r="C968" s="1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" customHeight="1">
      <c r="A969" s="9" t="n"/>
      <c r="B969" s="19" t="n"/>
      <c r="C969" s="1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" customHeight="1">
      <c r="A970" s="9" t="n"/>
      <c r="B970" s="19" t="n"/>
      <c r="C970" s="1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" customHeight="1">
      <c r="A971" s="9" t="n"/>
      <c r="B971" s="19" t="n"/>
      <c r="C971" s="1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" customHeight="1">
      <c r="A972" s="9" t="n"/>
      <c r="B972" s="19" t="n"/>
      <c r="C972" s="1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" customHeight="1">
      <c r="A973" s="9" t="n"/>
      <c r="B973" s="19" t="n"/>
      <c r="C973" s="1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" customHeight="1">
      <c r="A974" s="9" t="n"/>
      <c r="B974" s="19" t="n"/>
      <c r="C974" s="1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" customHeight="1">
      <c r="A975" s="9" t="n"/>
      <c r="B975" s="19" t="n"/>
      <c r="C975" s="1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" customHeight="1">
      <c r="A976" s="9" t="n"/>
      <c r="B976" s="19" t="n"/>
      <c r="C976" s="1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" customHeight="1">
      <c r="A977" s="9" t="n"/>
      <c r="B977" s="19" t="n"/>
      <c r="C977" s="1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" customHeight="1">
      <c r="A978" s="9" t="n"/>
      <c r="B978" s="19" t="n"/>
      <c r="C978" s="1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" customHeight="1">
      <c r="A979" s="9" t="n"/>
      <c r="B979" s="19" t="n"/>
      <c r="C979" s="1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" customHeight="1">
      <c r="A980" s="9" t="n"/>
      <c r="B980" s="19" t="n"/>
      <c r="C980" s="1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" customHeight="1">
      <c r="A981" s="9" t="n"/>
      <c r="B981" s="19" t="n"/>
      <c r="C981" s="1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" customHeight="1">
      <c r="A982" s="9" t="n"/>
      <c r="B982" s="19" t="n"/>
      <c r="C982" s="1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" customHeight="1">
      <c r="A983" s="9" t="n"/>
      <c r="B983" s="19" t="n"/>
      <c r="C983" s="1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" customHeight="1">
      <c r="A984" s="9" t="n"/>
      <c r="B984" s="19" t="n"/>
      <c r="C984" s="1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" customHeight="1">
      <c r="A985" s="9" t="n"/>
      <c r="B985" s="19" t="n"/>
      <c r="C985" s="1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" customHeight="1">
      <c r="A986" s="9" t="n"/>
      <c r="B986" s="19" t="n"/>
      <c r="C986" s="1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" customHeight="1">
      <c r="A987" s="9" t="n"/>
      <c r="B987" s="19" t="n"/>
      <c r="C987" s="1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" customHeight="1">
      <c r="A988" s="9" t="n"/>
      <c r="B988" s="19" t="n"/>
      <c r="C988" s="1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" customHeight="1">
      <c r="A989" s="9" t="n"/>
      <c r="B989" s="19" t="n"/>
      <c r="C989" s="1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" customHeight="1">
      <c r="A990" s="9" t="n"/>
      <c r="B990" s="19" t="n"/>
      <c r="C990" s="1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" customHeight="1">
      <c r="A991" s="9" t="n"/>
      <c r="B991" s="19" t="n"/>
      <c r="C991" s="1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" customHeight="1">
      <c r="A992" s="9" t="n"/>
      <c r="B992" s="19" t="n"/>
      <c r="C992" s="1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" customHeight="1">
      <c r="A993" s="9" t="n"/>
      <c r="B993" s="19" t="n"/>
      <c r="C993" s="1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" customHeight="1">
      <c r="A994" s="9" t="n"/>
      <c r="B994" s="19" t="n"/>
      <c r="C994" s="1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" customHeight="1">
      <c r="A995" s="9" t="n"/>
      <c r="B995" s="19" t="n"/>
      <c r="C995" s="1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" customHeight="1">
      <c r="A996" s="9" t="n"/>
      <c r="B996" s="19" t="n"/>
      <c r="C996" s="1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" customHeight="1">
      <c r="A997" s="9" t="n"/>
      <c r="B997" s="19" t="n"/>
      <c r="C997" s="1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" customHeight="1">
      <c r="A998" s="9" t="n"/>
      <c r="B998" s="19" t="n"/>
      <c r="C998" s="1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" customHeight="1">
      <c r="A999" s="9" t="n"/>
      <c r="B999" s="19" t="n"/>
      <c r="C999" s="1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" customHeight="1">
      <c r="A1000" s="9" t="n"/>
      <c r="B1000" s="19" t="n"/>
      <c r="C1000" s="1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pageMargins left="0.7" right="0.7" top="0.75" bottom="0.75" header="0" footer="0"/>
  <pageSetup orientation="portrait" scale="47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T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2578125" defaultRowHeight="15" customHeight="1"/>
  <cols>
    <col width="61.7109375" customWidth="1" min="1" max="1"/>
    <col width="8.28515625" customWidth="1" min="2" max="3"/>
    <col width="8.7109375" customWidth="1" min="4" max="20"/>
  </cols>
  <sheetData>
    <row r="1" ht="12" customHeight="1">
      <c r="A1" s="18">
        <f>CompanyName</f>
        <v/>
      </c>
      <c r="B1" s="19" t="n"/>
      <c r="C1" s="1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</row>
    <row r="2" ht="12" customHeight="1">
      <c r="A2" s="20" t="inlineStr">
        <is>
          <t>Cash Flow Statement</t>
        </is>
      </c>
      <c r="B2" s="19" t="n"/>
      <c r="C2" s="21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2" customHeight="1">
      <c r="A3" s="9" t="n"/>
      <c r="B3" s="22">
        <f>IF(B$4&lt;=FinancialYearEnd,"Actual","Forecast")</f>
        <v/>
      </c>
      <c r="C3" s="22">
        <f>IF(C$4&lt;=FinancialYearEnd,"Actual","Forecast")</f>
        <v/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</row>
    <row r="4" ht="12" customHeight="1" thickBot="1">
      <c r="A4" s="23">
        <f>'P. Input'!$D$7</f>
        <v/>
      </c>
      <c r="B4" s="24">
        <f>EDATE(FinancialYearEnd,-12*NumPriorAnnualReportsRecorded)</f>
        <v/>
      </c>
      <c r="C4" s="24">
        <f>EDATE(B4,12)</f>
        <v/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12" customHeight="1">
      <c r="A5" s="49" t="inlineStr">
        <is>
          <t>Cash Flows from Operating Activities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 ht="12" customHeight="1">
      <c r="A6" s="9" t="inlineStr">
        <is>
          <t>Net income (loss)</t>
        </is>
      </c>
      <c r="B6" s="58">
        <f>'I. Profit_Loss'!B18</f>
        <v/>
      </c>
      <c r="C6" s="58">
        <f>'I. Profit_Loss'!C18</f>
        <v/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12" customHeight="1">
      <c r="A7" s="9" t="inlineStr">
        <is>
          <t>Adjustments to reconcile net income (loss) to net cash provided by operating activities: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 ht="12" customHeight="1">
      <c r="A8" s="90" t="inlineStr">
        <is>
          <t>Depreciation, amortization and impairment</t>
        </is>
      </c>
      <c r="B8" s="59" t="n">
        <v>2322</v>
      </c>
      <c r="C8" s="59" t="n">
        <v>2911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 ht="12" customHeight="1">
      <c r="A9" s="90" t="inlineStr">
        <is>
          <t>Stock-based compensation</t>
        </is>
      </c>
      <c r="B9" s="59" t="n">
        <v>1734</v>
      </c>
      <c r="C9" s="59" t="n">
        <v>2121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 ht="12" customHeight="1">
      <c r="A10" s="90" t="inlineStr">
        <is>
          <t>Inventory and purchase commitments write-downs</t>
        </is>
      </c>
      <c r="B10" s="59" t="n">
        <v>202</v>
      </c>
      <c r="C10" s="59" t="n">
        <v>140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 ht="12" customHeight="1">
      <c r="A11" s="90" t="inlineStr">
        <is>
          <t>Foreign currency transaction net unrealized (gain) loss</t>
        </is>
      </c>
      <c r="B11" s="59" t="n">
        <v>114</v>
      </c>
      <c r="C11" s="59" t="n">
        <v>-55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12" customHeight="1">
      <c r="A12" s="90" t="inlineStr">
        <is>
          <t>Non-cash interest and other operating activities</t>
        </is>
      </c>
      <c r="B12" s="59" t="n">
        <v>525</v>
      </c>
      <c r="C12" s="59" t="n">
        <v>245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 ht="12" customHeight="1">
      <c r="A13" s="90" t="inlineStr">
        <is>
          <t>Digital assets gain, net</t>
        </is>
      </c>
      <c r="B13" s="59" t="n">
        <v>0</v>
      </c>
      <c r="C13" s="59">
        <f>-27-51</f>
        <v/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 ht="12" customHeight="1">
      <c r="A14" s="90" t="inlineStr">
        <is>
          <t>Operating cash flow related to repayment of discounted convertible senior notes</t>
        </is>
      </c>
      <c r="B14" s="59" t="n">
        <v>0</v>
      </c>
      <c r="C14" s="59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 ht="12" customHeight="1">
      <c r="A15" s="9" t="inlineStr">
        <is>
          <t>Changes in operating assets and liabilities: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 ht="12" customHeight="1">
      <c r="A16" s="90" t="inlineStr">
        <is>
          <t>Accounts receivable</t>
        </is>
      </c>
      <c r="B16" s="59" t="n">
        <v>-652</v>
      </c>
      <c r="C16" s="59" t="n">
        <v>-130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 ht="12" customHeight="1">
      <c r="A17" s="90" t="inlineStr">
        <is>
          <t>Inventory</t>
        </is>
      </c>
      <c r="B17" s="59" t="n">
        <v>-422</v>
      </c>
      <c r="C17" s="59" t="n">
        <v>-1709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 ht="12" customHeight="1">
      <c r="A18" s="90" t="inlineStr">
        <is>
          <t>Operating lease vehicles</t>
        </is>
      </c>
      <c r="B18" s="59" t="n">
        <v>-1072</v>
      </c>
      <c r="C18" s="59" t="n">
        <v>-2114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 ht="12" customHeight="1">
      <c r="A19" s="90" t="inlineStr">
        <is>
          <t>Prepaid expenses and other current assets</t>
        </is>
      </c>
      <c r="B19" s="59" t="n">
        <v>-251</v>
      </c>
      <c r="C19" s="59" t="n">
        <v>-271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12" customHeight="1">
      <c r="A20" s="90" t="inlineStr">
        <is>
          <t>Other non-current assets</t>
        </is>
      </c>
      <c r="B20" s="59" t="n">
        <v>-344</v>
      </c>
      <c r="C20" s="59" t="n">
        <v>-1291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 ht="12" customHeight="1">
      <c r="A21" s="90" t="inlineStr">
        <is>
          <t>Accounts payable and accrued liabilities</t>
        </is>
      </c>
      <c r="B21" s="59" t="n">
        <v>2102</v>
      </c>
      <c r="C21" s="59" t="n">
        <v>4578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12" customHeight="1">
      <c r="A22" s="90" t="inlineStr">
        <is>
          <t>Deferred revenue</t>
        </is>
      </c>
      <c r="B22" s="59" t="n">
        <v>321</v>
      </c>
      <c r="C22" s="59" t="n">
        <v>793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 ht="12" customHeight="1">
      <c r="A23" s="90" t="inlineStr">
        <is>
          <t>Customer deposits</t>
        </is>
      </c>
      <c r="B23" s="59" t="n">
        <v>7</v>
      </c>
      <c r="C23" s="59" t="n">
        <v>186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 ht="12" customHeight="1">
      <c r="A24" s="90" t="inlineStr">
        <is>
          <t>Other long-term liabilities</t>
        </is>
      </c>
      <c r="B24" s="59" t="n">
        <v>495</v>
      </c>
      <c r="C24" s="59" t="n">
        <v>476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 ht="12" customHeight="1" thickBot="1">
      <c r="A25" s="60" t="inlineStr">
        <is>
          <t>Net cash provided by operating activities</t>
        </is>
      </c>
      <c r="B25" s="61">
        <f>SUM(B6:B24)</f>
        <v/>
      </c>
      <c r="C25" s="61">
        <f>SUM(C6:C24)</f>
        <v/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 ht="12" customHeight="1">
      <c r="A26" s="3" t="n"/>
      <c r="B26" s="58" t="n"/>
      <c r="C26" s="58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 ht="12" customHeight="1" thickBot="1">
      <c r="A27" s="62" t="inlineStr">
        <is>
          <t>Cash Flows from Investing Activities</t>
        </is>
      </c>
      <c r="B27" s="63" t="n"/>
      <c r="C27" s="6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 ht="12" customHeight="1">
      <c r="A28" s="9" t="inlineStr">
        <is>
          <t>Purchases of property and equipment excluding finance leases, net of sales</t>
        </is>
      </c>
      <c r="B28" s="59" t="n">
        <v>-3157</v>
      </c>
      <c r="C28" s="59" t="n">
        <v>-6482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 ht="12" customHeight="1">
      <c r="A29" s="9" t="inlineStr">
        <is>
          <t>Purchases of solar energy systems, net of sales</t>
        </is>
      </c>
      <c r="B29" s="59" t="n">
        <v>-75</v>
      </c>
      <c r="C29" s="59" t="n">
        <v>-32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 ht="12" customHeight="1">
      <c r="A30" s="9" t="inlineStr">
        <is>
          <t>Purchases of digital assets</t>
        </is>
      </c>
      <c r="B30" s="59" t="n">
        <v>0</v>
      </c>
      <c r="C30" s="59" t="n">
        <v>-1500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 ht="12" customHeight="1">
      <c r="A31" s="9" t="inlineStr">
        <is>
          <t>Proceeds from sales of digital assets</t>
        </is>
      </c>
      <c r="B31" s="59" t="n">
        <v>0</v>
      </c>
      <c r="C31" s="59" t="n">
        <v>272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 ht="12" customHeight="1">
      <c r="A32" s="9" t="inlineStr">
        <is>
          <t>Purchases of marketable securities</t>
        </is>
      </c>
      <c r="B32" s="59" t="n">
        <v>0</v>
      </c>
      <c r="C32" s="59" t="n">
        <v>-132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 ht="12" customHeight="1">
      <c r="A33" s="9" t="inlineStr">
        <is>
          <t>Receipt of government grants</t>
        </is>
      </c>
      <c r="B33" s="59" t="n">
        <v>123</v>
      </c>
      <c r="C33" s="59" t="n">
        <v>6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 ht="12" customHeight="1">
      <c r="A34" s="9" t="inlineStr">
        <is>
          <t>Purchase of intangible assets</t>
        </is>
      </c>
      <c r="B34" s="59" t="n">
        <v>-10</v>
      </c>
      <c r="C34" s="59" t="n">
        <v>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</row>
    <row r="35" ht="12" customHeight="1">
      <c r="A35" s="9" t="inlineStr">
        <is>
          <t>Business combinations, net of cash acquired</t>
        </is>
      </c>
      <c r="B35" s="59" t="n">
        <v>-13</v>
      </c>
      <c r="C35" s="59" t="n">
        <v>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 ht="12" customHeight="1" thickBot="1">
      <c r="A36" s="60" t="inlineStr">
        <is>
          <t>Net cash used in investing activities</t>
        </is>
      </c>
      <c r="B36" s="61">
        <f>SUM(B28:B35)</f>
        <v/>
      </c>
      <c r="C36" s="61">
        <f>SUM(C28:C35)</f>
        <v/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 ht="12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 ht="12" customHeight="1" thickBot="1">
      <c r="A38" s="62" t="inlineStr">
        <is>
          <t>Cash Flows from Financing Activities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 ht="12" customHeight="1">
      <c r="A39" s="9" t="inlineStr">
        <is>
          <t>Proceeds from issuances of common stock in public offerings, net of issuance costs</t>
        </is>
      </c>
      <c r="B39" s="59" t="n">
        <v>12269</v>
      </c>
      <c r="C39" s="59" t="n">
        <v>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 ht="12" customHeight="1">
      <c r="A40" s="9" t="inlineStr">
        <is>
          <t>Proceeds from issuances of convertible and other debt</t>
        </is>
      </c>
      <c r="B40" s="59" t="n">
        <v>9713</v>
      </c>
      <c r="C40" s="59" t="n">
        <v>8883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</row>
    <row r="41" ht="12" customHeight="1">
      <c r="A41" s="9" t="inlineStr">
        <is>
          <t>Repayments of convertible and other debt</t>
        </is>
      </c>
      <c r="B41" s="59" t="n">
        <v>-11623</v>
      </c>
      <c r="C41" s="59" t="n">
        <v>-14167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 ht="12" customHeight="1">
      <c r="A42" s="9" t="inlineStr">
        <is>
          <t>Collateralized lease repayments</t>
        </is>
      </c>
      <c r="B42" s="59" t="n">
        <v>-240</v>
      </c>
      <c r="C42" s="59" t="n">
        <v>-9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</row>
    <row r="43" ht="12" customHeight="1">
      <c r="A43" s="9" t="inlineStr">
        <is>
          <t>Proceeds from exercises of stock options and other stock issuances</t>
        </is>
      </c>
      <c r="B43" s="59" t="n">
        <v>417</v>
      </c>
      <c r="C43" s="59" t="n">
        <v>707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 ht="12" customHeight="1">
      <c r="A44" s="9" t="inlineStr">
        <is>
          <t>Principal payments on finance leases</t>
        </is>
      </c>
      <c r="B44" s="59" t="n">
        <v>-338</v>
      </c>
      <c r="C44" s="59" t="n">
        <v>-439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</row>
    <row r="45" ht="12" customHeight="1">
      <c r="A45" s="9" t="inlineStr">
        <is>
          <t>Debt issuance costs</t>
        </is>
      </c>
      <c r="B45" s="59" t="n">
        <v>-6</v>
      </c>
      <c r="C45" s="59" t="n">
        <v>-9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 ht="12" customHeight="1">
      <c r="A46" s="9" t="inlineStr">
        <is>
          <t>Purchase of convertible note hedges</t>
        </is>
      </c>
      <c r="B46" s="59" t="n">
        <v>0</v>
      </c>
      <c r="C46" s="59" t="n">
        <v>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 ht="12" customHeight="1">
      <c r="A47" s="9" t="inlineStr">
        <is>
          <t>Proceeds from issuance of warrants</t>
        </is>
      </c>
      <c r="B47" s="59" t="n">
        <v>0</v>
      </c>
      <c r="C47" s="59" t="n">
        <v>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 ht="12" customHeight="1">
      <c r="A48" s="9" t="inlineStr">
        <is>
          <t>Proceeds from investments by noncontrolling interests in subsidiaries</t>
        </is>
      </c>
      <c r="B48" s="59" t="n">
        <v>24</v>
      </c>
      <c r="C48" s="59" t="n">
        <v>2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 ht="12" customHeight="1">
      <c r="A49" s="9" t="inlineStr">
        <is>
          <t>Distributions paid to noncontrolling interests in subsidiaries</t>
        </is>
      </c>
      <c r="B49" s="59" t="n">
        <v>-208</v>
      </c>
      <c r="C49" s="59" t="n">
        <v>-161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 ht="12" customHeight="1">
      <c r="A50" s="9" t="inlineStr">
        <is>
          <t>Payments for buy-outs of noncontrolling interests in subsidiaries</t>
        </is>
      </c>
      <c r="B50" s="59" t="n">
        <v>-35</v>
      </c>
      <c r="C50" s="59" t="n">
        <v>-10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 ht="12" customHeight="1">
      <c r="A51" s="3" t="inlineStr">
        <is>
          <t>Net cash (used in) provided by financing activities</t>
        </is>
      </c>
      <c r="B51" s="64">
        <f>SUM(B39:B50)</f>
        <v/>
      </c>
      <c r="C51" s="64">
        <f>SUM(C39:C50)</f>
        <v/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 ht="12" customHeight="1">
      <c r="A52" s="3" t="n"/>
      <c r="B52" s="65" t="n"/>
      <c r="C52" s="65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 ht="12" customHeight="1" thickBot="1">
      <c r="A53" s="9" t="inlineStr">
        <is>
          <t>Effect of exchange rate changes on cash and cash equivalents and restricted cash</t>
        </is>
      </c>
      <c r="B53" s="66" t="n">
        <v>334</v>
      </c>
      <c r="C53" s="66" t="n">
        <v>-183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 ht="12" customHeight="1">
      <c r="A54" s="3" t="inlineStr">
        <is>
          <t>Net (decrease) increase in cash and cash equivalents and restricted cash</t>
        </is>
      </c>
      <c r="B54" s="58">
        <f>SUM(B25,B36,B51,B53)</f>
        <v/>
      </c>
      <c r="C54" s="58">
        <f>SUM(C25,C36,C51,C53)</f>
        <v/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</row>
    <row r="55" ht="12" customHeight="1">
      <c r="A55" s="3" t="inlineStr">
        <is>
          <t>Cash and cash equivalents and restricted cash, beginning of period</t>
        </is>
      </c>
      <c r="B55" s="59" t="n">
        <v>6266</v>
      </c>
      <c r="C55" s="58">
        <f>B56</f>
        <v/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 ht="12" customHeight="1" thickBot="1">
      <c r="A56" s="3" t="inlineStr">
        <is>
          <t>Cash and cash equivalents and restricted cash, end of period</t>
        </is>
      </c>
      <c r="B56" s="67">
        <f>SUM(B54:B55)</f>
        <v/>
      </c>
      <c r="C56" s="67">
        <f>SUM(C54:C55)</f>
        <v/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 ht="12" customHeight="1">
      <c r="A57" s="3" t="n"/>
      <c r="B57" s="58" t="n"/>
      <c r="C57" s="58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 ht="12" customHeight="1">
      <c r="A58" s="3" t="inlineStr">
        <is>
          <t>Supplemental Non-Cash Investing and Financing Activities</t>
        </is>
      </c>
      <c r="B58" s="58" t="n"/>
      <c r="C58" s="58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 ht="12" customHeight="1">
      <c r="A59" s="9" t="inlineStr">
        <is>
          <t>Equity issued in connection with business combination</t>
        </is>
      </c>
      <c r="B59" s="59" t="n">
        <v>0</v>
      </c>
      <c r="C59" s="59" t="n">
        <v>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 ht="12" customHeight="1">
      <c r="A60" s="9" t="inlineStr">
        <is>
          <t>Acquisitions of property and equipment included in liabilities</t>
        </is>
      </c>
      <c r="B60" s="59" t="n">
        <v>1088</v>
      </c>
      <c r="C60" s="59" t="n">
        <v>2251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 ht="12" customHeight="1">
      <c r="A61" s="3" t="inlineStr">
        <is>
          <t>Supplemental Disclosures</t>
        </is>
      </c>
      <c r="B61" s="58" t="n"/>
      <c r="C61" s="58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 ht="12" customHeight="1">
      <c r="A62" s="9" t="inlineStr">
        <is>
          <t>Cash paid during the period for interest, net of amounts capitalized</t>
        </is>
      </c>
      <c r="B62" s="59" t="n">
        <v>444</v>
      </c>
      <c r="C62" s="59" t="n">
        <v>266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 ht="12" customHeight="1">
      <c r="A63" s="9" t="inlineStr">
        <is>
          <t>Cash paid during the period for taxes, net of refunds</t>
        </is>
      </c>
      <c r="B63" s="59" t="n">
        <v>115</v>
      </c>
      <c r="C63" s="59" t="n">
        <v>561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 ht="12" customHeight="1">
      <c r="A64" s="9" t="n"/>
      <c r="B64" s="38" t="n"/>
      <c r="C64" s="38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</row>
    <row r="65" ht="12" customHeight="1" thickBot="1">
      <c r="A65" s="36" t="inlineStr">
        <is>
          <t>Increase / (decrease) in cash and cash equivalents</t>
        </is>
      </c>
      <c r="B65" s="37">
        <f>SUM(B53,B51,B36,B25)</f>
        <v/>
      </c>
      <c r="C65" s="37">
        <f>SUM(C53,C51,C36,C25)</f>
        <v/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 ht="12" customHeight="1">
      <c r="A66" s="68" t="inlineStr">
        <is>
          <t>Cash and cash equivalents at the beginning of the year</t>
        </is>
      </c>
      <c r="B66" s="57">
        <f>B55</f>
        <v/>
      </c>
      <c r="C66" s="57">
        <f>B67</f>
        <v/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 ht="12" customHeight="1" thickBot="1">
      <c r="A67" s="34" t="inlineStr">
        <is>
          <t>Cash and cash equivalents at the end of the year</t>
        </is>
      </c>
      <c r="B67" s="45">
        <f>SUM(B65:B66)</f>
        <v/>
      </c>
      <c r="C67" s="45">
        <f>SUM(C65:C66)</f>
        <v/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 ht="12" customHeight="1">
      <c r="A68" s="9" t="n"/>
      <c r="B68" s="19" t="n"/>
      <c r="C68" s="1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</row>
    <row r="69" ht="12" customHeight="1">
      <c r="A69" s="9" t="n"/>
      <c r="B69" s="19" t="n"/>
      <c r="C69" s="1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</row>
    <row r="70" ht="12" customHeight="1">
      <c r="A70" s="9" t="n"/>
      <c r="B70" s="58" t="n"/>
      <c r="C70" s="58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</row>
    <row r="71" ht="12" customHeight="1">
      <c r="A71" s="9" t="n"/>
      <c r="B71" s="19" t="n"/>
      <c r="C71" s="1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</row>
    <row r="72" ht="12" customHeight="1">
      <c r="A72" s="9" t="n"/>
      <c r="B72" s="19" t="n"/>
      <c r="C72" s="1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</row>
    <row r="73" ht="12" customHeight="1">
      <c r="A73" s="9" t="n"/>
      <c r="B73" s="19" t="n"/>
      <c r="C73" s="1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</row>
    <row r="74" ht="12" customHeight="1">
      <c r="A74" s="9" t="n"/>
      <c r="B74" s="19" t="n"/>
      <c r="C74" s="1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</row>
    <row r="75" ht="12" customHeight="1">
      <c r="A75" s="9" t="n"/>
      <c r="B75" s="19" t="n"/>
      <c r="C75" s="1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</row>
    <row r="76" ht="12" customHeight="1">
      <c r="A76" s="9" t="n"/>
      <c r="B76" s="19" t="n"/>
      <c r="C76" s="1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</row>
    <row r="77" ht="12" customHeight="1">
      <c r="A77" s="9" t="n"/>
      <c r="B77" s="19" t="n"/>
      <c r="C77" s="1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</row>
    <row r="78" ht="12" customHeight="1">
      <c r="A78" s="9" t="n"/>
      <c r="B78" s="19" t="n"/>
      <c r="C78" s="1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</row>
    <row r="79" ht="12" customHeight="1">
      <c r="A79" s="9" t="n"/>
      <c r="B79" s="19" t="n"/>
      <c r="C79" s="1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</row>
    <row r="80" ht="12" customHeight="1">
      <c r="A80" s="9" t="n"/>
      <c r="B80" s="19" t="n"/>
      <c r="C80" s="1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</row>
    <row r="81" ht="12" customHeight="1">
      <c r="A81" s="9" t="n"/>
      <c r="B81" s="19" t="n"/>
      <c r="C81" s="1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</row>
    <row r="82" ht="12" customHeight="1">
      <c r="A82" s="9" t="n"/>
      <c r="B82" s="19" t="n"/>
      <c r="C82" s="1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</row>
    <row r="83" ht="12" customHeight="1">
      <c r="A83" s="9" t="n"/>
      <c r="B83" s="19" t="n"/>
      <c r="C83" s="1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</row>
    <row r="84" ht="12" customHeight="1">
      <c r="A84" s="9" t="n"/>
      <c r="B84" s="19" t="n"/>
      <c r="C84" s="1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</row>
    <row r="85" ht="12" customHeight="1">
      <c r="A85" s="9" t="n"/>
      <c r="B85" s="19" t="n"/>
      <c r="C85" s="1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</row>
    <row r="86" ht="12" customHeight="1">
      <c r="A86" s="9" t="n"/>
      <c r="B86" s="19" t="n"/>
      <c r="C86" s="1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</row>
    <row r="87" ht="12" customHeight="1">
      <c r="A87" s="9" t="n"/>
      <c r="B87" s="19" t="n"/>
      <c r="C87" s="1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</row>
    <row r="88" ht="12" customHeight="1">
      <c r="A88" s="9" t="n"/>
      <c r="B88" s="19" t="n"/>
      <c r="C88" s="1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</row>
    <row r="89" ht="12" customHeight="1">
      <c r="A89" s="9" t="n"/>
      <c r="B89" s="19" t="n"/>
      <c r="C89" s="1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</row>
    <row r="90" ht="12" customHeight="1">
      <c r="A90" s="9" t="n"/>
      <c r="B90" s="19" t="n"/>
      <c r="C90" s="1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</row>
    <row r="91" ht="12" customHeight="1">
      <c r="A91" s="9" t="n"/>
      <c r="B91" s="19" t="n"/>
      <c r="C91" s="1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</row>
    <row r="92" ht="12" customHeight="1">
      <c r="A92" s="9" t="n"/>
      <c r="B92" s="19" t="n"/>
      <c r="C92" s="1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</row>
    <row r="93" ht="12" customHeight="1">
      <c r="A93" s="9" t="n"/>
      <c r="B93" s="19" t="n"/>
      <c r="C93" s="1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</row>
    <row r="94" ht="12" customHeight="1">
      <c r="A94" s="9" t="n"/>
      <c r="B94" s="19" t="n"/>
      <c r="C94" s="1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</row>
    <row r="95" ht="12" customHeight="1">
      <c r="A95" s="9" t="n"/>
      <c r="B95" s="19" t="n"/>
      <c r="C95" s="1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</row>
    <row r="96" ht="12" customHeight="1">
      <c r="A96" s="9" t="n"/>
      <c r="B96" s="19" t="n"/>
      <c r="C96" s="1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</row>
    <row r="97" ht="12" customHeight="1">
      <c r="A97" s="9" t="n"/>
      <c r="B97" s="19" t="n"/>
      <c r="C97" s="1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</row>
    <row r="98" ht="12" customHeight="1">
      <c r="A98" s="9" t="n"/>
      <c r="B98" s="19" t="n"/>
      <c r="C98" s="1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</row>
    <row r="99" ht="12" customHeight="1">
      <c r="A99" s="9" t="n"/>
      <c r="B99" s="19" t="n"/>
      <c r="C99" s="1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</row>
    <row r="100" ht="12" customHeight="1">
      <c r="A100" s="9" t="n"/>
      <c r="B100" s="19" t="n"/>
      <c r="C100" s="1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</row>
    <row r="101" ht="12" customHeight="1">
      <c r="A101" s="9" t="n"/>
      <c r="B101" s="19" t="n"/>
      <c r="C101" s="1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</row>
    <row r="102" ht="12" customHeight="1">
      <c r="A102" s="9" t="n"/>
      <c r="B102" s="19" t="n"/>
      <c r="C102" s="1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</row>
    <row r="103" ht="12" customHeight="1">
      <c r="A103" s="9" t="n"/>
      <c r="B103" s="19" t="n"/>
      <c r="C103" s="1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</row>
    <row r="104" ht="12" customHeight="1">
      <c r="A104" s="9" t="n"/>
      <c r="B104" s="19" t="n"/>
      <c r="C104" s="1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</row>
    <row r="105" ht="12" customHeight="1">
      <c r="A105" s="9" t="n"/>
      <c r="B105" s="19" t="n"/>
      <c r="C105" s="1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</row>
    <row r="106" ht="12" customHeight="1">
      <c r="A106" s="9" t="n"/>
      <c r="B106" s="19" t="n"/>
      <c r="C106" s="1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</row>
    <row r="107" ht="12" customHeight="1">
      <c r="A107" s="9" t="n"/>
      <c r="B107" s="19" t="n"/>
      <c r="C107" s="1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</row>
    <row r="108" ht="12" customHeight="1">
      <c r="A108" s="9" t="n"/>
      <c r="B108" s="19" t="n"/>
      <c r="C108" s="1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</row>
    <row r="109" ht="12" customHeight="1">
      <c r="A109" s="9" t="n"/>
      <c r="B109" s="19" t="n"/>
      <c r="C109" s="1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</row>
    <row r="110" ht="12" customHeight="1">
      <c r="A110" s="9" t="n"/>
      <c r="B110" s="19" t="n"/>
      <c r="C110" s="1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</row>
    <row r="111" ht="12" customHeight="1">
      <c r="A111" s="9" t="n"/>
      <c r="B111" s="19" t="n"/>
      <c r="C111" s="1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</row>
    <row r="112" ht="12" customHeight="1">
      <c r="A112" s="9" t="n"/>
      <c r="B112" s="19" t="n"/>
      <c r="C112" s="1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</row>
    <row r="113" ht="12" customHeight="1">
      <c r="A113" s="9" t="n"/>
      <c r="B113" s="19" t="n"/>
      <c r="C113" s="1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</row>
    <row r="114" ht="12" customHeight="1">
      <c r="A114" s="9" t="n"/>
      <c r="B114" s="19" t="n"/>
      <c r="C114" s="1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</row>
    <row r="115" ht="12" customHeight="1">
      <c r="A115" s="9" t="n"/>
      <c r="B115" s="19" t="n"/>
      <c r="C115" s="1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</row>
    <row r="116" ht="12" customHeight="1">
      <c r="A116" s="9" t="n"/>
      <c r="B116" s="19" t="n"/>
      <c r="C116" s="1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</row>
    <row r="117" ht="12" customHeight="1">
      <c r="A117" s="9" t="n"/>
      <c r="B117" s="19" t="n"/>
      <c r="C117" s="1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</row>
    <row r="118" ht="12" customHeight="1">
      <c r="A118" s="9" t="n"/>
      <c r="B118" s="19" t="n"/>
      <c r="C118" s="1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</row>
    <row r="119" ht="12" customHeight="1">
      <c r="A119" s="9" t="n"/>
      <c r="B119" s="19" t="n"/>
      <c r="C119" s="1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</row>
    <row r="120" ht="12" customHeight="1">
      <c r="A120" s="9" t="n"/>
      <c r="B120" s="19" t="n"/>
      <c r="C120" s="1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</row>
    <row r="121" ht="12" customHeight="1">
      <c r="A121" s="9" t="n"/>
      <c r="B121" s="19" t="n"/>
      <c r="C121" s="1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</row>
    <row r="122" ht="12" customHeight="1">
      <c r="A122" s="9" t="n"/>
      <c r="B122" s="19" t="n"/>
      <c r="C122" s="1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</row>
    <row r="123" ht="12" customHeight="1">
      <c r="A123" s="9" t="n"/>
      <c r="B123" s="19" t="n"/>
      <c r="C123" s="1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</row>
    <row r="124" ht="12" customHeight="1">
      <c r="A124" s="9" t="n"/>
      <c r="B124" s="19" t="n"/>
      <c r="C124" s="1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</row>
    <row r="125" ht="12" customHeight="1">
      <c r="A125" s="9" t="n"/>
      <c r="B125" s="19" t="n"/>
      <c r="C125" s="1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</row>
    <row r="126" ht="12" customHeight="1">
      <c r="A126" s="9" t="n"/>
      <c r="B126" s="19" t="n"/>
      <c r="C126" s="1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</row>
    <row r="127" ht="12" customHeight="1">
      <c r="A127" s="9" t="n"/>
      <c r="B127" s="19" t="n"/>
      <c r="C127" s="1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</row>
    <row r="128" ht="12" customHeight="1">
      <c r="A128" s="9" t="n"/>
      <c r="B128" s="19" t="n"/>
      <c r="C128" s="1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</row>
    <row r="129" ht="12" customHeight="1">
      <c r="A129" s="9" t="n"/>
      <c r="B129" s="19" t="n"/>
      <c r="C129" s="1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</row>
    <row r="130" ht="12" customHeight="1">
      <c r="A130" s="9" t="n"/>
      <c r="B130" s="19" t="n"/>
      <c r="C130" s="1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</row>
    <row r="131" ht="12" customHeight="1">
      <c r="A131" s="9" t="n"/>
      <c r="B131" s="19" t="n"/>
      <c r="C131" s="1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</row>
    <row r="132" ht="12" customHeight="1">
      <c r="A132" s="9" t="n"/>
      <c r="B132" s="19" t="n"/>
      <c r="C132" s="1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</row>
    <row r="133" ht="12" customHeight="1">
      <c r="A133" s="9" t="n"/>
      <c r="B133" s="19" t="n"/>
      <c r="C133" s="1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</row>
    <row r="134" ht="12" customHeight="1">
      <c r="A134" s="9" t="n"/>
      <c r="B134" s="19" t="n"/>
      <c r="C134" s="1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</row>
    <row r="135" ht="12" customHeight="1">
      <c r="A135" s="9" t="n"/>
      <c r="B135" s="19" t="n"/>
      <c r="C135" s="1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</row>
    <row r="136" ht="12" customHeight="1">
      <c r="A136" s="9" t="n"/>
      <c r="B136" s="19" t="n"/>
      <c r="C136" s="1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</row>
    <row r="137" ht="12" customHeight="1">
      <c r="A137" s="9" t="n"/>
      <c r="B137" s="19" t="n"/>
      <c r="C137" s="1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</row>
    <row r="138" ht="12" customHeight="1">
      <c r="A138" s="9" t="n"/>
      <c r="B138" s="19" t="n"/>
      <c r="C138" s="1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</row>
    <row r="139" ht="12" customHeight="1">
      <c r="A139" s="9" t="n"/>
      <c r="B139" s="19" t="n"/>
      <c r="C139" s="1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</row>
    <row r="140" ht="12" customHeight="1">
      <c r="A140" s="9" t="n"/>
      <c r="B140" s="19" t="n"/>
      <c r="C140" s="1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</row>
    <row r="141" ht="12" customHeight="1">
      <c r="A141" s="9" t="n"/>
      <c r="B141" s="19" t="n"/>
      <c r="C141" s="1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</row>
    <row r="142" ht="12" customHeight="1">
      <c r="A142" s="9" t="n"/>
      <c r="B142" s="19" t="n"/>
      <c r="C142" s="1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</row>
    <row r="143" ht="12" customHeight="1">
      <c r="A143" s="9" t="n"/>
      <c r="B143" s="19" t="n"/>
      <c r="C143" s="1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</row>
    <row r="144" ht="12" customHeight="1">
      <c r="A144" s="9" t="n"/>
      <c r="B144" s="19" t="n"/>
      <c r="C144" s="1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</row>
    <row r="145" ht="12" customHeight="1">
      <c r="A145" s="9" t="n"/>
      <c r="B145" s="19" t="n"/>
      <c r="C145" s="1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</row>
    <row r="146" ht="12" customHeight="1">
      <c r="A146" s="9" t="n"/>
      <c r="B146" s="19" t="n"/>
      <c r="C146" s="1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</row>
    <row r="147" ht="12" customHeight="1">
      <c r="A147" s="9" t="n"/>
      <c r="B147" s="19" t="n"/>
      <c r="C147" s="1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</row>
    <row r="148" ht="12" customHeight="1">
      <c r="A148" s="9" t="n"/>
      <c r="B148" s="19" t="n"/>
      <c r="C148" s="1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</row>
    <row r="149" ht="12" customHeight="1">
      <c r="A149" s="9" t="n"/>
      <c r="B149" s="19" t="n"/>
      <c r="C149" s="1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</row>
    <row r="150" ht="12" customHeight="1">
      <c r="A150" s="9" t="n"/>
      <c r="B150" s="19" t="n"/>
      <c r="C150" s="1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</row>
    <row r="151" ht="12" customHeight="1">
      <c r="A151" s="9" t="n"/>
      <c r="B151" s="19" t="n"/>
      <c r="C151" s="1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</row>
    <row r="152" ht="12" customHeight="1">
      <c r="A152" s="9" t="n"/>
      <c r="B152" s="19" t="n"/>
      <c r="C152" s="1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</row>
    <row r="153" ht="12" customHeight="1">
      <c r="A153" s="9" t="n"/>
      <c r="B153" s="19" t="n"/>
      <c r="C153" s="1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</row>
    <row r="154" ht="12" customHeight="1">
      <c r="A154" s="9" t="n"/>
      <c r="B154" s="19" t="n"/>
      <c r="C154" s="1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</row>
    <row r="155" ht="12" customHeight="1">
      <c r="A155" s="9" t="n"/>
      <c r="B155" s="19" t="n"/>
      <c r="C155" s="1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</row>
    <row r="156" ht="12" customHeight="1">
      <c r="A156" s="9" t="n"/>
      <c r="B156" s="19" t="n"/>
      <c r="C156" s="1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</row>
    <row r="157" ht="12" customHeight="1">
      <c r="A157" s="9" t="n"/>
      <c r="B157" s="19" t="n"/>
      <c r="C157" s="1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</row>
    <row r="158" ht="12" customHeight="1">
      <c r="A158" s="9" t="n"/>
      <c r="B158" s="19" t="n"/>
      <c r="C158" s="1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</row>
    <row r="159" ht="12" customHeight="1">
      <c r="A159" s="9" t="n"/>
      <c r="B159" s="19" t="n"/>
      <c r="C159" s="1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</row>
    <row r="160" ht="12" customHeight="1">
      <c r="A160" s="9" t="n"/>
      <c r="B160" s="19" t="n"/>
      <c r="C160" s="1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</row>
    <row r="161" ht="12" customHeight="1">
      <c r="A161" s="9" t="n"/>
      <c r="B161" s="19" t="n"/>
      <c r="C161" s="1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</row>
    <row r="162" ht="12" customHeight="1">
      <c r="A162" s="9" t="n"/>
      <c r="B162" s="19" t="n"/>
      <c r="C162" s="1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</row>
    <row r="163" ht="12" customHeight="1">
      <c r="A163" s="9" t="n"/>
      <c r="B163" s="19" t="n"/>
      <c r="C163" s="1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</row>
    <row r="164" ht="12" customHeight="1">
      <c r="A164" s="9" t="n"/>
      <c r="B164" s="19" t="n"/>
      <c r="C164" s="1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</row>
    <row r="165" ht="12" customHeight="1">
      <c r="A165" s="9" t="n"/>
      <c r="B165" s="19" t="n"/>
      <c r="C165" s="1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</row>
    <row r="166" ht="12" customHeight="1">
      <c r="A166" s="9" t="n"/>
      <c r="B166" s="19" t="n"/>
      <c r="C166" s="1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</row>
    <row r="167" ht="12" customHeight="1">
      <c r="A167" s="9" t="n"/>
      <c r="B167" s="19" t="n"/>
      <c r="C167" s="1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</row>
    <row r="168" ht="12" customHeight="1">
      <c r="A168" s="9" t="n"/>
      <c r="B168" s="19" t="n"/>
      <c r="C168" s="1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</row>
    <row r="169" ht="12" customHeight="1">
      <c r="A169" s="9" t="n"/>
      <c r="B169" s="19" t="n"/>
      <c r="C169" s="1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</row>
    <row r="170" ht="12" customHeight="1">
      <c r="A170" s="9" t="n"/>
      <c r="B170" s="19" t="n"/>
      <c r="C170" s="1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</row>
    <row r="171" ht="12" customHeight="1">
      <c r="A171" s="9" t="n"/>
      <c r="B171" s="19" t="n"/>
      <c r="C171" s="1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</row>
    <row r="172" ht="12" customHeight="1">
      <c r="A172" s="9" t="n"/>
      <c r="B172" s="19" t="n"/>
      <c r="C172" s="1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</row>
    <row r="173" ht="12" customHeight="1">
      <c r="A173" s="9" t="n"/>
      <c r="B173" s="19" t="n"/>
      <c r="C173" s="1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</row>
    <row r="174" ht="12" customHeight="1">
      <c r="A174" s="9" t="n"/>
      <c r="B174" s="19" t="n"/>
      <c r="C174" s="1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</row>
    <row r="175" ht="12" customHeight="1">
      <c r="A175" s="9" t="n"/>
      <c r="B175" s="19" t="n"/>
      <c r="C175" s="1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</row>
    <row r="176" ht="12" customHeight="1">
      <c r="A176" s="9" t="n"/>
      <c r="B176" s="19" t="n"/>
      <c r="C176" s="1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</row>
    <row r="177" ht="12" customHeight="1">
      <c r="A177" s="9" t="n"/>
      <c r="B177" s="19" t="n"/>
      <c r="C177" s="1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</row>
    <row r="178" ht="12" customHeight="1">
      <c r="A178" s="9" t="n"/>
      <c r="B178" s="19" t="n"/>
      <c r="C178" s="1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</row>
    <row r="179" ht="12" customHeight="1">
      <c r="A179" s="9" t="n"/>
      <c r="B179" s="19" t="n"/>
      <c r="C179" s="1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</row>
    <row r="180" ht="12" customHeight="1">
      <c r="A180" s="9" t="n"/>
      <c r="B180" s="19" t="n"/>
      <c r="C180" s="1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</row>
    <row r="181" ht="12" customHeight="1">
      <c r="A181" s="9" t="n"/>
      <c r="B181" s="19" t="n"/>
      <c r="C181" s="1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</row>
    <row r="182" ht="12" customHeight="1">
      <c r="A182" s="9" t="n"/>
      <c r="B182" s="19" t="n"/>
      <c r="C182" s="1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</row>
    <row r="183" ht="12" customHeight="1">
      <c r="A183" s="9" t="n"/>
      <c r="B183" s="19" t="n"/>
      <c r="C183" s="1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</row>
    <row r="184" ht="12" customHeight="1">
      <c r="A184" s="9" t="n"/>
      <c r="B184" s="19" t="n"/>
      <c r="C184" s="1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</row>
    <row r="185" ht="12" customHeight="1">
      <c r="A185" s="9" t="n"/>
      <c r="B185" s="19" t="n"/>
      <c r="C185" s="1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</row>
    <row r="186" ht="12" customHeight="1">
      <c r="A186" s="9" t="n"/>
      <c r="B186" s="19" t="n"/>
      <c r="C186" s="1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</row>
    <row r="187" ht="12" customHeight="1">
      <c r="A187" s="9" t="n"/>
      <c r="B187" s="19" t="n"/>
      <c r="C187" s="1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</row>
    <row r="188" ht="12" customHeight="1">
      <c r="A188" s="9" t="n"/>
      <c r="B188" s="19" t="n"/>
      <c r="C188" s="1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</row>
    <row r="189" ht="12" customHeight="1">
      <c r="A189" s="9" t="n"/>
      <c r="B189" s="19" t="n"/>
      <c r="C189" s="1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</row>
    <row r="190" ht="12" customHeight="1">
      <c r="A190" s="9" t="n"/>
      <c r="B190" s="19" t="n"/>
      <c r="C190" s="1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</row>
    <row r="191" ht="12" customHeight="1">
      <c r="A191" s="9" t="n"/>
      <c r="B191" s="19" t="n"/>
      <c r="C191" s="1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</row>
    <row r="192" ht="12" customHeight="1">
      <c r="A192" s="9" t="n"/>
      <c r="B192" s="19" t="n"/>
      <c r="C192" s="1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</row>
    <row r="193" ht="12" customHeight="1">
      <c r="A193" s="9" t="n"/>
      <c r="B193" s="19" t="n"/>
      <c r="C193" s="1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</row>
    <row r="194" ht="12" customHeight="1">
      <c r="A194" s="9" t="n"/>
      <c r="B194" s="19" t="n"/>
      <c r="C194" s="1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</row>
    <row r="195" ht="12" customHeight="1">
      <c r="A195" s="9" t="n"/>
      <c r="B195" s="19" t="n"/>
      <c r="C195" s="1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</row>
    <row r="196" ht="12" customHeight="1">
      <c r="A196" s="9" t="n"/>
      <c r="B196" s="19" t="n"/>
      <c r="C196" s="1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</row>
    <row r="197" ht="12" customHeight="1">
      <c r="A197" s="9" t="n"/>
      <c r="B197" s="19" t="n"/>
      <c r="C197" s="1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</row>
    <row r="198" ht="12" customHeight="1">
      <c r="A198" s="9" t="n"/>
      <c r="B198" s="19" t="n"/>
      <c r="C198" s="1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</row>
    <row r="199" ht="12" customHeight="1">
      <c r="A199" s="9" t="n"/>
      <c r="B199" s="19" t="n"/>
      <c r="C199" s="1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</row>
    <row r="200" ht="12" customHeight="1">
      <c r="A200" s="9" t="n"/>
      <c r="B200" s="19" t="n"/>
      <c r="C200" s="1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</row>
    <row r="201" ht="12" customHeight="1">
      <c r="A201" s="9" t="n"/>
      <c r="B201" s="19" t="n"/>
      <c r="C201" s="1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</row>
    <row r="202" ht="12" customHeight="1">
      <c r="A202" s="9" t="n"/>
      <c r="B202" s="19" t="n"/>
      <c r="C202" s="1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</row>
    <row r="203" ht="12" customHeight="1">
      <c r="A203" s="9" t="n"/>
      <c r="B203" s="19" t="n"/>
      <c r="C203" s="1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</row>
    <row r="204" ht="12" customHeight="1">
      <c r="A204" s="9" t="n"/>
      <c r="B204" s="19" t="n"/>
      <c r="C204" s="1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</row>
    <row r="205" ht="12" customHeight="1">
      <c r="A205" s="9" t="n"/>
      <c r="B205" s="19" t="n"/>
      <c r="C205" s="1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</row>
    <row r="206" ht="12" customHeight="1">
      <c r="A206" s="9" t="n"/>
      <c r="B206" s="19" t="n"/>
      <c r="C206" s="1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</row>
    <row r="207" ht="12" customHeight="1">
      <c r="A207" s="9" t="n"/>
      <c r="B207" s="19" t="n"/>
      <c r="C207" s="1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</row>
    <row r="208" ht="12" customHeight="1">
      <c r="A208" s="9" t="n"/>
      <c r="B208" s="19" t="n"/>
      <c r="C208" s="1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</row>
    <row r="209" ht="12" customHeight="1">
      <c r="A209" s="9" t="n"/>
      <c r="B209" s="19" t="n"/>
      <c r="C209" s="1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</row>
    <row r="210" ht="12" customHeight="1">
      <c r="A210" s="9" t="n"/>
      <c r="B210" s="19" t="n"/>
      <c r="C210" s="1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</row>
    <row r="211" ht="12" customHeight="1">
      <c r="A211" s="9" t="n"/>
      <c r="B211" s="19" t="n"/>
      <c r="C211" s="1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</row>
    <row r="212" ht="12" customHeight="1">
      <c r="A212" s="9" t="n"/>
      <c r="B212" s="19" t="n"/>
      <c r="C212" s="1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</row>
    <row r="213" ht="12" customHeight="1">
      <c r="A213" s="9" t="n"/>
      <c r="B213" s="19" t="n"/>
      <c r="C213" s="1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</row>
    <row r="214" ht="12" customHeight="1">
      <c r="A214" s="9" t="n"/>
      <c r="B214" s="19" t="n"/>
      <c r="C214" s="1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</row>
    <row r="215" ht="12" customHeight="1">
      <c r="A215" s="9" t="n"/>
      <c r="B215" s="19" t="n"/>
      <c r="C215" s="1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</row>
    <row r="216" ht="12" customHeight="1">
      <c r="A216" s="9" t="n"/>
      <c r="B216" s="19" t="n"/>
      <c r="C216" s="1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</row>
    <row r="217" ht="12" customHeight="1">
      <c r="A217" s="9" t="n"/>
      <c r="B217" s="19" t="n"/>
      <c r="C217" s="1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</row>
    <row r="218" ht="12" customHeight="1">
      <c r="A218" s="9" t="n"/>
      <c r="B218" s="19" t="n"/>
      <c r="C218" s="1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</row>
    <row r="219" ht="12" customHeight="1">
      <c r="A219" s="9" t="n"/>
      <c r="B219" s="19" t="n"/>
      <c r="C219" s="1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</row>
    <row r="220" ht="12" customHeight="1">
      <c r="A220" s="9" t="n"/>
      <c r="B220" s="19" t="n"/>
      <c r="C220" s="1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</row>
    <row r="221" ht="12" customHeight="1">
      <c r="A221" s="9" t="n"/>
      <c r="B221" s="19" t="n"/>
      <c r="C221" s="1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</row>
    <row r="222" ht="12" customHeight="1">
      <c r="A222" s="9" t="n"/>
      <c r="B222" s="19" t="n"/>
      <c r="C222" s="1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</row>
    <row r="223" ht="12" customHeight="1">
      <c r="A223" s="9" t="n"/>
      <c r="B223" s="19" t="n"/>
      <c r="C223" s="1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</row>
    <row r="224" ht="12" customHeight="1">
      <c r="A224" s="9" t="n"/>
      <c r="B224" s="19" t="n"/>
      <c r="C224" s="1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</row>
    <row r="225" ht="12" customHeight="1">
      <c r="A225" s="9" t="n"/>
      <c r="B225" s="19" t="n"/>
      <c r="C225" s="1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</row>
    <row r="226" ht="12" customHeight="1">
      <c r="A226" s="9" t="n"/>
      <c r="B226" s="19" t="n"/>
      <c r="C226" s="1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</row>
    <row r="227" ht="12" customHeight="1">
      <c r="A227" s="9" t="n"/>
      <c r="B227" s="19" t="n"/>
      <c r="C227" s="1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</row>
    <row r="228" ht="12" customHeight="1">
      <c r="A228" s="9" t="n"/>
      <c r="B228" s="19" t="n"/>
      <c r="C228" s="1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</row>
    <row r="229" ht="12" customHeight="1">
      <c r="A229" s="9" t="n"/>
      <c r="B229" s="19" t="n"/>
      <c r="C229" s="1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</row>
    <row r="230" ht="12" customHeight="1">
      <c r="A230" s="9" t="n"/>
      <c r="B230" s="19" t="n"/>
      <c r="C230" s="1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</row>
    <row r="231" ht="12" customHeight="1">
      <c r="A231" s="9" t="n"/>
      <c r="B231" s="19" t="n"/>
      <c r="C231" s="1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</row>
    <row r="232" ht="12" customHeight="1">
      <c r="A232" s="9" t="n"/>
      <c r="B232" s="19" t="n"/>
      <c r="C232" s="1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</row>
    <row r="233" ht="12" customHeight="1">
      <c r="A233" s="9" t="n"/>
      <c r="B233" s="19" t="n"/>
      <c r="C233" s="1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</row>
    <row r="234" ht="12" customHeight="1">
      <c r="A234" s="9" t="n"/>
      <c r="B234" s="19" t="n"/>
      <c r="C234" s="1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</row>
    <row r="235" ht="12" customHeight="1">
      <c r="A235" s="9" t="n"/>
      <c r="B235" s="19" t="n"/>
      <c r="C235" s="1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</row>
    <row r="236" ht="12" customHeight="1">
      <c r="A236" s="9" t="n"/>
      <c r="B236" s="19" t="n"/>
      <c r="C236" s="1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</row>
    <row r="237" ht="12" customHeight="1">
      <c r="A237" s="9" t="n"/>
      <c r="B237" s="19" t="n"/>
      <c r="C237" s="1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</row>
    <row r="238" ht="12" customHeight="1">
      <c r="A238" s="9" t="n"/>
      <c r="B238" s="19" t="n"/>
      <c r="C238" s="1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</row>
    <row r="239" ht="12" customHeight="1">
      <c r="A239" s="9" t="n"/>
      <c r="B239" s="19" t="n"/>
      <c r="C239" s="1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</row>
    <row r="240" ht="12" customHeight="1">
      <c r="A240" s="9" t="n"/>
      <c r="B240" s="19" t="n"/>
      <c r="C240" s="1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</row>
    <row r="241" ht="12" customHeight="1">
      <c r="A241" s="9" t="n"/>
      <c r="B241" s="19" t="n"/>
      <c r="C241" s="1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</row>
    <row r="242" ht="12" customHeight="1">
      <c r="A242" s="9" t="n"/>
      <c r="B242" s="19" t="n"/>
      <c r="C242" s="1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</row>
    <row r="243" ht="12" customHeight="1">
      <c r="A243" s="9" t="n"/>
      <c r="B243" s="19" t="n"/>
      <c r="C243" s="1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</row>
    <row r="244" ht="12" customHeight="1">
      <c r="A244" s="9" t="n"/>
      <c r="B244" s="19" t="n"/>
      <c r="C244" s="1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</row>
    <row r="245" ht="12" customHeight="1">
      <c r="A245" s="9" t="n"/>
      <c r="B245" s="19" t="n"/>
      <c r="C245" s="1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</row>
    <row r="246" ht="12" customHeight="1">
      <c r="A246" s="9" t="n"/>
      <c r="B246" s="19" t="n"/>
      <c r="C246" s="1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</row>
    <row r="247" ht="12" customHeight="1">
      <c r="A247" s="9" t="n"/>
      <c r="B247" s="19" t="n"/>
      <c r="C247" s="1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</row>
    <row r="248" ht="12" customHeight="1">
      <c r="A248" s="9" t="n"/>
      <c r="B248" s="19" t="n"/>
      <c r="C248" s="1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</row>
    <row r="249" ht="12" customHeight="1">
      <c r="A249" s="9" t="n"/>
      <c r="B249" s="19" t="n"/>
      <c r="C249" s="1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</row>
    <row r="250" ht="12" customHeight="1">
      <c r="A250" s="9" t="n"/>
      <c r="B250" s="19" t="n"/>
      <c r="C250" s="1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</row>
    <row r="251" ht="12" customHeight="1">
      <c r="A251" s="9" t="n"/>
      <c r="B251" s="19" t="n"/>
      <c r="C251" s="1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</row>
    <row r="252" ht="12" customHeight="1">
      <c r="A252" s="9" t="n"/>
      <c r="B252" s="19" t="n"/>
      <c r="C252" s="1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</row>
    <row r="253" ht="12" customHeight="1">
      <c r="A253" s="9" t="n"/>
      <c r="B253" s="19" t="n"/>
      <c r="C253" s="1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</row>
    <row r="254" ht="12" customHeight="1">
      <c r="A254" s="9" t="n"/>
      <c r="B254" s="19" t="n"/>
      <c r="C254" s="1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</row>
    <row r="255" ht="12" customHeight="1">
      <c r="A255" s="9" t="n"/>
      <c r="B255" s="19" t="n"/>
      <c r="C255" s="1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</row>
    <row r="256" ht="12" customHeight="1">
      <c r="A256" s="9" t="n"/>
      <c r="B256" s="19" t="n"/>
      <c r="C256" s="1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</row>
    <row r="257" ht="12" customHeight="1">
      <c r="A257" s="9" t="n"/>
      <c r="B257" s="19" t="n"/>
      <c r="C257" s="1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</row>
    <row r="258" ht="12" customHeight="1">
      <c r="A258" s="9" t="n"/>
      <c r="B258" s="19" t="n"/>
      <c r="C258" s="1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</row>
    <row r="259" ht="12" customHeight="1">
      <c r="A259" s="9" t="n"/>
      <c r="B259" s="19" t="n"/>
      <c r="C259" s="1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</row>
    <row r="260" ht="12" customHeight="1">
      <c r="A260" s="9" t="n"/>
      <c r="B260" s="19" t="n"/>
      <c r="C260" s="1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</row>
    <row r="261" ht="12" customHeight="1">
      <c r="A261" s="9" t="n"/>
      <c r="B261" s="19" t="n"/>
      <c r="C261" s="1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</row>
    <row r="262" ht="12" customHeight="1">
      <c r="A262" s="9" t="n"/>
      <c r="B262" s="19" t="n"/>
      <c r="C262" s="1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</row>
    <row r="263" ht="12" customHeight="1">
      <c r="A263" s="9" t="n"/>
      <c r="B263" s="19" t="n"/>
      <c r="C263" s="1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</row>
    <row r="264" ht="12" customHeight="1">
      <c r="A264" s="9" t="n"/>
      <c r="B264" s="19" t="n"/>
      <c r="C264" s="1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</row>
    <row r="265" ht="12" customHeight="1">
      <c r="A265" s="9" t="n"/>
      <c r="B265" s="19" t="n"/>
      <c r="C265" s="1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</row>
    <row r="266" ht="12" customHeight="1">
      <c r="A266" s="9" t="n"/>
      <c r="B266" s="19" t="n"/>
      <c r="C266" s="1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</row>
    <row r="267" ht="12" customHeight="1">
      <c r="A267" s="9" t="n"/>
      <c r="B267" s="19" t="n"/>
      <c r="C267" s="1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</row>
    <row r="268" ht="12" customHeight="1">
      <c r="A268" s="9" t="n"/>
      <c r="B268" s="19" t="n"/>
      <c r="C268" s="1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</row>
    <row r="269" ht="12" customHeight="1">
      <c r="A269" s="9" t="n"/>
      <c r="B269" s="19" t="n"/>
      <c r="C269" s="1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</row>
    <row r="270" ht="12" customHeight="1">
      <c r="A270" s="9" t="n"/>
      <c r="B270" s="19" t="n"/>
      <c r="C270" s="1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</row>
    <row r="271" ht="12" customHeight="1">
      <c r="A271" s="9" t="n"/>
      <c r="B271" s="19" t="n"/>
      <c r="C271" s="1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</row>
    <row r="272" ht="12" customHeight="1">
      <c r="A272" s="9" t="n"/>
      <c r="B272" s="19" t="n"/>
      <c r="C272" s="1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</row>
    <row r="273" ht="12" customHeight="1">
      <c r="A273" s="9" t="n"/>
      <c r="B273" s="19" t="n"/>
      <c r="C273" s="1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</row>
    <row r="274" ht="12" customHeight="1">
      <c r="A274" s="9" t="n"/>
      <c r="B274" s="19" t="n"/>
      <c r="C274" s="1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</row>
    <row r="275" ht="12" customHeight="1">
      <c r="A275" s="9" t="n"/>
      <c r="B275" s="19" t="n"/>
      <c r="C275" s="1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</row>
    <row r="276" ht="12" customHeight="1">
      <c r="A276" s="9" t="n"/>
      <c r="B276" s="19" t="n"/>
      <c r="C276" s="1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</row>
    <row r="277" ht="12" customHeight="1">
      <c r="A277" s="9" t="n"/>
      <c r="B277" s="19" t="n"/>
      <c r="C277" s="1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</row>
    <row r="278" ht="12" customHeight="1">
      <c r="A278" s="9" t="n"/>
      <c r="B278" s="19" t="n"/>
      <c r="C278" s="1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</row>
    <row r="279" ht="12" customHeight="1">
      <c r="A279" s="9" t="n"/>
      <c r="B279" s="19" t="n"/>
      <c r="C279" s="1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</row>
    <row r="280" ht="12" customHeight="1">
      <c r="A280" s="9" t="n"/>
      <c r="B280" s="19" t="n"/>
      <c r="C280" s="1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</row>
    <row r="281" ht="12" customHeight="1">
      <c r="A281" s="9" t="n"/>
      <c r="B281" s="19" t="n"/>
      <c r="C281" s="1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</row>
    <row r="282" ht="12" customHeight="1">
      <c r="A282" s="9" t="n"/>
      <c r="B282" s="19" t="n"/>
      <c r="C282" s="1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</row>
    <row r="283" ht="12" customHeight="1">
      <c r="A283" s="9" t="n"/>
      <c r="B283" s="19" t="n"/>
      <c r="C283" s="1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</row>
    <row r="284" ht="12" customHeight="1">
      <c r="A284" s="9" t="n"/>
      <c r="B284" s="19" t="n"/>
      <c r="C284" s="1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</row>
    <row r="285" ht="12" customHeight="1">
      <c r="A285" s="9" t="n"/>
      <c r="B285" s="19" t="n"/>
      <c r="C285" s="1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</row>
    <row r="286" ht="12" customHeight="1">
      <c r="A286" s="9" t="n"/>
      <c r="B286" s="19" t="n"/>
      <c r="C286" s="1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</row>
    <row r="287" ht="12" customHeight="1">
      <c r="A287" s="9" t="n"/>
      <c r="B287" s="19" t="n"/>
      <c r="C287" s="1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</row>
    <row r="288" ht="12" customHeight="1">
      <c r="A288" s="9" t="n"/>
      <c r="B288" s="19" t="n"/>
      <c r="C288" s="1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</row>
    <row r="289" ht="12" customHeight="1">
      <c r="A289" s="9" t="n"/>
      <c r="B289" s="19" t="n"/>
      <c r="C289" s="1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</row>
    <row r="290" ht="12" customHeight="1">
      <c r="A290" s="9" t="n"/>
      <c r="B290" s="19" t="n"/>
      <c r="C290" s="1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</row>
    <row r="291" ht="12" customHeight="1">
      <c r="A291" s="9" t="n"/>
      <c r="B291" s="19" t="n"/>
      <c r="C291" s="1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</row>
    <row r="292" ht="12" customHeight="1">
      <c r="A292" s="9" t="n"/>
      <c r="B292" s="19" t="n"/>
      <c r="C292" s="1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</row>
    <row r="293" ht="12" customHeight="1">
      <c r="A293" s="9" t="n"/>
      <c r="B293" s="19" t="n"/>
      <c r="C293" s="1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</row>
    <row r="294" ht="12" customHeight="1">
      <c r="A294" s="9" t="n"/>
      <c r="B294" s="19" t="n"/>
      <c r="C294" s="1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</row>
    <row r="295" ht="12" customHeight="1">
      <c r="A295" s="9" t="n"/>
      <c r="B295" s="19" t="n"/>
      <c r="C295" s="1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</row>
    <row r="296" ht="12" customHeight="1">
      <c r="A296" s="9" t="n"/>
      <c r="B296" s="19" t="n"/>
      <c r="C296" s="1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</row>
    <row r="297" ht="12" customHeight="1">
      <c r="A297" s="9" t="n"/>
      <c r="B297" s="19" t="n"/>
      <c r="C297" s="1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</row>
    <row r="298" ht="12" customHeight="1">
      <c r="A298" s="9" t="n"/>
      <c r="B298" s="19" t="n"/>
      <c r="C298" s="1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</row>
    <row r="299" ht="12" customHeight="1">
      <c r="A299" s="9" t="n"/>
      <c r="B299" s="19" t="n"/>
      <c r="C299" s="1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</row>
    <row r="300" ht="12" customHeight="1">
      <c r="A300" s="9" t="n"/>
      <c r="B300" s="19" t="n"/>
      <c r="C300" s="1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</row>
    <row r="301" ht="12" customHeight="1">
      <c r="A301" s="9" t="n"/>
      <c r="B301" s="19" t="n"/>
      <c r="C301" s="1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</row>
    <row r="302" ht="12" customHeight="1">
      <c r="A302" s="9" t="n"/>
      <c r="B302" s="19" t="n"/>
      <c r="C302" s="1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</row>
    <row r="303" ht="12" customHeight="1">
      <c r="A303" s="9" t="n"/>
      <c r="B303" s="19" t="n"/>
      <c r="C303" s="1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</row>
    <row r="304" ht="12" customHeight="1">
      <c r="A304" s="9" t="n"/>
      <c r="B304" s="19" t="n"/>
      <c r="C304" s="1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</row>
    <row r="305" ht="12" customHeight="1">
      <c r="A305" s="9" t="n"/>
      <c r="B305" s="19" t="n"/>
      <c r="C305" s="1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</row>
    <row r="306" ht="12" customHeight="1">
      <c r="A306" s="9" t="n"/>
      <c r="B306" s="19" t="n"/>
      <c r="C306" s="1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</row>
    <row r="307" ht="12" customHeight="1">
      <c r="A307" s="9" t="n"/>
      <c r="B307" s="19" t="n"/>
      <c r="C307" s="1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</row>
    <row r="308" ht="12" customHeight="1">
      <c r="A308" s="9" t="n"/>
      <c r="B308" s="19" t="n"/>
      <c r="C308" s="1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</row>
    <row r="309" ht="12" customHeight="1">
      <c r="A309" s="9" t="n"/>
      <c r="B309" s="19" t="n"/>
      <c r="C309" s="1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</row>
    <row r="310" ht="12" customHeight="1">
      <c r="A310" s="9" t="n"/>
      <c r="B310" s="19" t="n"/>
      <c r="C310" s="1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</row>
    <row r="311" ht="12" customHeight="1">
      <c r="A311" s="9" t="n"/>
      <c r="B311" s="19" t="n"/>
      <c r="C311" s="1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</row>
    <row r="312" ht="12" customHeight="1">
      <c r="A312" s="9" t="n"/>
      <c r="B312" s="19" t="n"/>
      <c r="C312" s="1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</row>
    <row r="313" ht="12" customHeight="1">
      <c r="A313" s="9" t="n"/>
      <c r="B313" s="19" t="n"/>
      <c r="C313" s="1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</row>
    <row r="314" ht="12" customHeight="1">
      <c r="A314" s="9" t="n"/>
      <c r="B314" s="19" t="n"/>
      <c r="C314" s="1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</row>
    <row r="315" ht="12" customHeight="1">
      <c r="A315" s="9" t="n"/>
      <c r="B315" s="19" t="n"/>
      <c r="C315" s="1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</row>
    <row r="316" ht="12" customHeight="1">
      <c r="A316" s="9" t="n"/>
      <c r="B316" s="19" t="n"/>
      <c r="C316" s="1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</row>
    <row r="317" ht="12" customHeight="1">
      <c r="A317" s="9" t="n"/>
      <c r="B317" s="19" t="n"/>
      <c r="C317" s="1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</row>
    <row r="318" ht="12" customHeight="1">
      <c r="A318" s="9" t="n"/>
      <c r="B318" s="19" t="n"/>
      <c r="C318" s="1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</row>
    <row r="319" ht="12" customHeight="1">
      <c r="A319" s="9" t="n"/>
      <c r="B319" s="19" t="n"/>
      <c r="C319" s="1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</row>
    <row r="320" ht="12" customHeight="1">
      <c r="A320" s="9" t="n"/>
      <c r="B320" s="19" t="n"/>
      <c r="C320" s="1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</row>
    <row r="321" ht="12" customHeight="1">
      <c r="A321" s="9" t="n"/>
      <c r="B321" s="19" t="n"/>
      <c r="C321" s="1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</row>
    <row r="322" ht="12" customHeight="1">
      <c r="A322" s="9" t="n"/>
      <c r="B322" s="19" t="n"/>
      <c r="C322" s="1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</row>
    <row r="323" ht="12" customHeight="1">
      <c r="A323" s="9" t="n"/>
      <c r="B323" s="19" t="n"/>
      <c r="C323" s="1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</row>
    <row r="324" ht="12" customHeight="1">
      <c r="A324" s="9" t="n"/>
      <c r="B324" s="19" t="n"/>
      <c r="C324" s="1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</row>
    <row r="325" ht="12" customHeight="1">
      <c r="A325" s="9" t="n"/>
      <c r="B325" s="19" t="n"/>
      <c r="C325" s="1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</row>
    <row r="326" ht="12" customHeight="1">
      <c r="A326" s="9" t="n"/>
      <c r="B326" s="19" t="n"/>
      <c r="C326" s="1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</row>
    <row r="327" ht="12" customHeight="1">
      <c r="A327" s="9" t="n"/>
      <c r="B327" s="19" t="n"/>
      <c r="C327" s="1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</row>
    <row r="328" ht="12" customHeight="1">
      <c r="A328" s="9" t="n"/>
      <c r="B328" s="19" t="n"/>
      <c r="C328" s="1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</row>
    <row r="329" ht="12" customHeight="1">
      <c r="A329" s="9" t="n"/>
      <c r="B329" s="19" t="n"/>
      <c r="C329" s="1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</row>
    <row r="330" ht="12" customHeight="1">
      <c r="A330" s="9" t="n"/>
      <c r="B330" s="19" t="n"/>
      <c r="C330" s="1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</row>
    <row r="331" ht="12" customHeight="1">
      <c r="A331" s="9" t="n"/>
      <c r="B331" s="19" t="n"/>
      <c r="C331" s="1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</row>
    <row r="332" ht="12" customHeight="1">
      <c r="A332" s="9" t="n"/>
      <c r="B332" s="19" t="n"/>
      <c r="C332" s="1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</row>
    <row r="333" ht="12" customHeight="1">
      <c r="A333" s="9" t="n"/>
      <c r="B333" s="19" t="n"/>
      <c r="C333" s="1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</row>
    <row r="334" ht="12" customHeight="1">
      <c r="A334" s="9" t="n"/>
      <c r="B334" s="19" t="n"/>
      <c r="C334" s="1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</row>
    <row r="335" ht="12" customHeight="1">
      <c r="A335" s="9" t="n"/>
      <c r="B335" s="19" t="n"/>
      <c r="C335" s="1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</row>
    <row r="336" ht="12" customHeight="1">
      <c r="A336" s="9" t="n"/>
      <c r="B336" s="19" t="n"/>
      <c r="C336" s="1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</row>
    <row r="337" ht="12" customHeight="1">
      <c r="A337" s="9" t="n"/>
      <c r="B337" s="19" t="n"/>
      <c r="C337" s="1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</row>
    <row r="338" ht="12" customHeight="1">
      <c r="A338" s="9" t="n"/>
      <c r="B338" s="19" t="n"/>
      <c r="C338" s="1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</row>
    <row r="339" ht="12" customHeight="1">
      <c r="A339" s="9" t="n"/>
      <c r="B339" s="19" t="n"/>
      <c r="C339" s="1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</row>
    <row r="340" ht="12" customHeight="1">
      <c r="A340" s="9" t="n"/>
      <c r="B340" s="19" t="n"/>
      <c r="C340" s="1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</row>
    <row r="341" ht="12" customHeight="1">
      <c r="A341" s="9" t="n"/>
      <c r="B341" s="19" t="n"/>
      <c r="C341" s="1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</row>
    <row r="342" ht="12" customHeight="1">
      <c r="A342" s="9" t="n"/>
      <c r="B342" s="19" t="n"/>
      <c r="C342" s="1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</row>
    <row r="343" ht="12" customHeight="1">
      <c r="A343" s="9" t="n"/>
      <c r="B343" s="19" t="n"/>
      <c r="C343" s="1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</row>
    <row r="344" ht="12" customHeight="1">
      <c r="A344" s="9" t="n"/>
      <c r="B344" s="19" t="n"/>
      <c r="C344" s="1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</row>
    <row r="345" ht="12" customHeight="1">
      <c r="A345" s="9" t="n"/>
      <c r="B345" s="19" t="n"/>
      <c r="C345" s="1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</row>
    <row r="346" ht="12" customHeight="1">
      <c r="A346" s="9" t="n"/>
      <c r="B346" s="19" t="n"/>
      <c r="C346" s="1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</row>
    <row r="347" ht="12" customHeight="1">
      <c r="A347" s="9" t="n"/>
      <c r="B347" s="19" t="n"/>
      <c r="C347" s="1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</row>
    <row r="348" ht="12" customHeight="1">
      <c r="A348" s="9" t="n"/>
      <c r="B348" s="19" t="n"/>
      <c r="C348" s="1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</row>
    <row r="349" ht="12" customHeight="1">
      <c r="A349" s="9" t="n"/>
      <c r="B349" s="19" t="n"/>
      <c r="C349" s="1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</row>
    <row r="350" ht="12" customHeight="1">
      <c r="A350" s="9" t="n"/>
      <c r="B350" s="19" t="n"/>
      <c r="C350" s="1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</row>
    <row r="351" ht="12" customHeight="1">
      <c r="A351" s="9" t="n"/>
      <c r="B351" s="19" t="n"/>
      <c r="C351" s="1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</row>
    <row r="352" ht="12" customHeight="1">
      <c r="A352" s="9" t="n"/>
      <c r="B352" s="19" t="n"/>
      <c r="C352" s="1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</row>
    <row r="353" ht="12" customHeight="1">
      <c r="A353" s="9" t="n"/>
      <c r="B353" s="19" t="n"/>
      <c r="C353" s="1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</row>
    <row r="354" ht="12" customHeight="1">
      <c r="A354" s="9" t="n"/>
      <c r="B354" s="19" t="n"/>
      <c r="C354" s="1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</row>
    <row r="355" ht="12" customHeight="1">
      <c r="A355" s="9" t="n"/>
      <c r="B355" s="19" t="n"/>
      <c r="C355" s="1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</row>
    <row r="356" ht="12" customHeight="1">
      <c r="A356" s="9" t="n"/>
      <c r="B356" s="19" t="n"/>
      <c r="C356" s="1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</row>
    <row r="357" ht="12" customHeight="1">
      <c r="A357" s="9" t="n"/>
      <c r="B357" s="19" t="n"/>
      <c r="C357" s="1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</row>
    <row r="358" ht="12" customHeight="1">
      <c r="A358" s="9" t="n"/>
      <c r="B358" s="19" t="n"/>
      <c r="C358" s="1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</row>
    <row r="359" ht="12" customHeight="1">
      <c r="A359" s="9" t="n"/>
      <c r="B359" s="19" t="n"/>
      <c r="C359" s="1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</row>
    <row r="360" ht="12" customHeight="1">
      <c r="A360" s="9" t="n"/>
      <c r="B360" s="19" t="n"/>
      <c r="C360" s="1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</row>
    <row r="361" ht="12" customHeight="1">
      <c r="A361" s="9" t="n"/>
      <c r="B361" s="19" t="n"/>
      <c r="C361" s="1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</row>
    <row r="362" ht="12" customHeight="1">
      <c r="A362" s="9" t="n"/>
      <c r="B362" s="19" t="n"/>
      <c r="C362" s="1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</row>
    <row r="363" ht="12" customHeight="1">
      <c r="A363" s="9" t="n"/>
      <c r="B363" s="19" t="n"/>
      <c r="C363" s="1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</row>
    <row r="364" ht="12" customHeight="1">
      <c r="A364" s="9" t="n"/>
      <c r="B364" s="19" t="n"/>
      <c r="C364" s="1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</row>
    <row r="365" ht="12" customHeight="1">
      <c r="A365" s="9" t="n"/>
      <c r="B365" s="19" t="n"/>
      <c r="C365" s="1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</row>
    <row r="366" ht="12" customHeight="1">
      <c r="A366" s="9" t="n"/>
      <c r="B366" s="19" t="n"/>
      <c r="C366" s="1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</row>
    <row r="367" ht="12" customHeight="1">
      <c r="A367" s="9" t="n"/>
      <c r="B367" s="19" t="n"/>
      <c r="C367" s="1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</row>
    <row r="368" ht="12" customHeight="1">
      <c r="A368" s="9" t="n"/>
      <c r="B368" s="19" t="n"/>
      <c r="C368" s="1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</row>
    <row r="369" ht="12" customHeight="1">
      <c r="A369" s="9" t="n"/>
      <c r="B369" s="19" t="n"/>
      <c r="C369" s="1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</row>
    <row r="370" ht="12" customHeight="1">
      <c r="A370" s="9" t="n"/>
      <c r="B370" s="19" t="n"/>
      <c r="C370" s="1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</row>
    <row r="371" ht="12" customHeight="1">
      <c r="A371" s="9" t="n"/>
      <c r="B371" s="19" t="n"/>
      <c r="C371" s="1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</row>
    <row r="372" ht="12" customHeight="1">
      <c r="A372" s="9" t="n"/>
      <c r="B372" s="19" t="n"/>
      <c r="C372" s="1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</row>
    <row r="373" ht="12" customHeight="1">
      <c r="A373" s="9" t="n"/>
      <c r="B373" s="19" t="n"/>
      <c r="C373" s="1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</row>
    <row r="374" ht="12" customHeight="1">
      <c r="A374" s="9" t="n"/>
      <c r="B374" s="19" t="n"/>
      <c r="C374" s="1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</row>
    <row r="375" ht="12" customHeight="1">
      <c r="A375" s="9" t="n"/>
      <c r="B375" s="19" t="n"/>
      <c r="C375" s="1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</row>
    <row r="376" ht="12" customHeight="1">
      <c r="A376" s="9" t="n"/>
      <c r="B376" s="19" t="n"/>
      <c r="C376" s="1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</row>
    <row r="377" ht="12" customHeight="1">
      <c r="A377" s="9" t="n"/>
      <c r="B377" s="19" t="n"/>
      <c r="C377" s="1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</row>
    <row r="378" ht="12" customHeight="1">
      <c r="A378" s="9" t="n"/>
      <c r="B378" s="19" t="n"/>
      <c r="C378" s="1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</row>
    <row r="379" ht="12" customHeight="1">
      <c r="A379" s="9" t="n"/>
      <c r="B379" s="19" t="n"/>
      <c r="C379" s="1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</row>
    <row r="380" ht="12" customHeight="1">
      <c r="A380" s="9" t="n"/>
      <c r="B380" s="19" t="n"/>
      <c r="C380" s="1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</row>
    <row r="381" ht="12" customHeight="1">
      <c r="A381" s="9" t="n"/>
      <c r="B381" s="19" t="n"/>
      <c r="C381" s="1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</row>
    <row r="382" ht="12" customHeight="1">
      <c r="A382" s="9" t="n"/>
      <c r="B382" s="19" t="n"/>
      <c r="C382" s="1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</row>
    <row r="383" ht="12" customHeight="1">
      <c r="A383" s="9" t="n"/>
      <c r="B383" s="19" t="n"/>
      <c r="C383" s="1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</row>
    <row r="384" ht="12" customHeight="1">
      <c r="A384" s="9" t="n"/>
      <c r="B384" s="19" t="n"/>
      <c r="C384" s="1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</row>
    <row r="385" ht="12" customHeight="1">
      <c r="A385" s="9" t="n"/>
      <c r="B385" s="19" t="n"/>
      <c r="C385" s="1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</row>
    <row r="386" ht="12" customHeight="1">
      <c r="A386" s="9" t="n"/>
      <c r="B386" s="19" t="n"/>
      <c r="C386" s="1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</row>
    <row r="387" ht="12" customHeight="1">
      <c r="A387" s="9" t="n"/>
      <c r="B387" s="19" t="n"/>
      <c r="C387" s="1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</row>
    <row r="388" ht="12" customHeight="1">
      <c r="A388" s="9" t="n"/>
      <c r="B388" s="19" t="n"/>
      <c r="C388" s="1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</row>
    <row r="389" ht="12" customHeight="1">
      <c r="A389" s="9" t="n"/>
      <c r="B389" s="19" t="n"/>
      <c r="C389" s="1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</row>
    <row r="390" ht="12" customHeight="1">
      <c r="A390" s="9" t="n"/>
      <c r="B390" s="19" t="n"/>
      <c r="C390" s="1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</row>
    <row r="391" ht="12" customHeight="1">
      <c r="A391" s="9" t="n"/>
      <c r="B391" s="19" t="n"/>
      <c r="C391" s="1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</row>
    <row r="392" ht="12" customHeight="1">
      <c r="A392" s="9" t="n"/>
      <c r="B392" s="19" t="n"/>
      <c r="C392" s="1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</row>
    <row r="393" ht="12" customHeight="1">
      <c r="A393" s="9" t="n"/>
      <c r="B393" s="19" t="n"/>
      <c r="C393" s="1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</row>
    <row r="394" ht="12" customHeight="1">
      <c r="A394" s="9" t="n"/>
      <c r="B394" s="19" t="n"/>
      <c r="C394" s="1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</row>
    <row r="395" ht="12" customHeight="1">
      <c r="A395" s="9" t="n"/>
      <c r="B395" s="19" t="n"/>
      <c r="C395" s="1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</row>
    <row r="396" ht="12" customHeight="1">
      <c r="A396" s="9" t="n"/>
      <c r="B396" s="19" t="n"/>
      <c r="C396" s="1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</row>
    <row r="397" ht="12" customHeight="1">
      <c r="A397" s="9" t="n"/>
      <c r="B397" s="19" t="n"/>
      <c r="C397" s="1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</row>
    <row r="398" ht="12" customHeight="1">
      <c r="A398" s="9" t="n"/>
      <c r="B398" s="19" t="n"/>
      <c r="C398" s="1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</row>
    <row r="399" ht="12" customHeight="1">
      <c r="A399" s="9" t="n"/>
      <c r="B399" s="19" t="n"/>
      <c r="C399" s="1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</row>
    <row r="400" ht="12" customHeight="1">
      <c r="A400" s="9" t="n"/>
      <c r="B400" s="19" t="n"/>
      <c r="C400" s="1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</row>
    <row r="401" ht="12" customHeight="1">
      <c r="A401" s="9" t="n"/>
      <c r="B401" s="19" t="n"/>
      <c r="C401" s="1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</row>
    <row r="402" ht="12" customHeight="1">
      <c r="A402" s="9" t="n"/>
      <c r="B402" s="19" t="n"/>
      <c r="C402" s="1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</row>
    <row r="403" ht="12" customHeight="1">
      <c r="A403" s="9" t="n"/>
      <c r="B403" s="19" t="n"/>
      <c r="C403" s="1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</row>
    <row r="404" ht="12" customHeight="1">
      <c r="A404" s="9" t="n"/>
      <c r="B404" s="19" t="n"/>
      <c r="C404" s="1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</row>
    <row r="405" ht="12" customHeight="1">
      <c r="A405" s="9" t="n"/>
      <c r="B405" s="19" t="n"/>
      <c r="C405" s="1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</row>
    <row r="406" ht="12" customHeight="1">
      <c r="A406" s="9" t="n"/>
      <c r="B406" s="19" t="n"/>
      <c r="C406" s="1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</row>
    <row r="407" ht="12" customHeight="1">
      <c r="A407" s="9" t="n"/>
      <c r="B407" s="19" t="n"/>
      <c r="C407" s="1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</row>
    <row r="408" ht="12" customHeight="1">
      <c r="A408" s="9" t="n"/>
      <c r="B408" s="19" t="n"/>
      <c r="C408" s="1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</row>
    <row r="409" ht="12" customHeight="1">
      <c r="A409" s="9" t="n"/>
      <c r="B409" s="19" t="n"/>
      <c r="C409" s="1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</row>
    <row r="410" ht="12" customHeight="1">
      <c r="A410" s="9" t="n"/>
      <c r="B410" s="19" t="n"/>
      <c r="C410" s="1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</row>
    <row r="411" ht="12" customHeight="1">
      <c r="A411" s="9" t="n"/>
      <c r="B411" s="19" t="n"/>
      <c r="C411" s="1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</row>
    <row r="412" ht="12" customHeight="1">
      <c r="A412" s="9" t="n"/>
      <c r="B412" s="19" t="n"/>
      <c r="C412" s="1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</row>
    <row r="413" ht="12" customHeight="1">
      <c r="A413" s="9" t="n"/>
      <c r="B413" s="19" t="n"/>
      <c r="C413" s="1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</row>
    <row r="414" ht="12" customHeight="1">
      <c r="A414" s="9" t="n"/>
      <c r="B414" s="19" t="n"/>
      <c r="C414" s="1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</row>
    <row r="415" ht="12" customHeight="1">
      <c r="A415" s="9" t="n"/>
      <c r="B415" s="19" t="n"/>
      <c r="C415" s="1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</row>
    <row r="416" ht="12" customHeight="1">
      <c r="A416" s="9" t="n"/>
      <c r="B416" s="19" t="n"/>
      <c r="C416" s="1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</row>
    <row r="417" ht="12" customHeight="1">
      <c r="A417" s="9" t="n"/>
      <c r="B417" s="19" t="n"/>
      <c r="C417" s="1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</row>
    <row r="418" ht="12" customHeight="1">
      <c r="A418" s="9" t="n"/>
      <c r="B418" s="19" t="n"/>
      <c r="C418" s="1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</row>
    <row r="419" ht="12" customHeight="1">
      <c r="A419" s="9" t="n"/>
      <c r="B419" s="19" t="n"/>
      <c r="C419" s="1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</row>
    <row r="420" ht="12" customHeight="1">
      <c r="A420" s="9" t="n"/>
      <c r="B420" s="19" t="n"/>
      <c r="C420" s="1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</row>
    <row r="421" ht="12" customHeight="1">
      <c r="A421" s="9" t="n"/>
      <c r="B421" s="19" t="n"/>
      <c r="C421" s="1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</row>
    <row r="422" ht="12" customHeight="1">
      <c r="A422" s="9" t="n"/>
      <c r="B422" s="19" t="n"/>
      <c r="C422" s="1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</row>
    <row r="423" ht="12" customHeight="1">
      <c r="A423" s="9" t="n"/>
      <c r="B423" s="19" t="n"/>
      <c r="C423" s="1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</row>
    <row r="424" ht="12" customHeight="1">
      <c r="A424" s="9" t="n"/>
      <c r="B424" s="19" t="n"/>
      <c r="C424" s="1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</row>
    <row r="425" ht="12" customHeight="1">
      <c r="A425" s="9" t="n"/>
      <c r="B425" s="19" t="n"/>
      <c r="C425" s="1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</row>
    <row r="426" ht="12" customHeight="1">
      <c r="A426" s="9" t="n"/>
      <c r="B426" s="19" t="n"/>
      <c r="C426" s="1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</row>
    <row r="427" ht="12" customHeight="1">
      <c r="A427" s="9" t="n"/>
      <c r="B427" s="19" t="n"/>
      <c r="C427" s="1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</row>
    <row r="428" ht="12" customHeight="1">
      <c r="A428" s="9" t="n"/>
      <c r="B428" s="19" t="n"/>
      <c r="C428" s="1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</row>
    <row r="429" ht="12" customHeight="1">
      <c r="A429" s="9" t="n"/>
      <c r="B429" s="19" t="n"/>
      <c r="C429" s="1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</row>
    <row r="430" ht="12" customHeight="1">
      <c r="A430" s="9" t="n"/>
      <c r="B430" s="19" t="n"/>
      <c r="C430" s="1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</row>
    <row r="431" ht="12" customHeight="1">
      <c r="A431" s="9" t="n"/>
      <c r="B431" s="19" t="n"/>
      <c r="C431" s="1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</row>
    <row r="432" ht="12" customHeight="1">
      <c r="A432" s="9" t="n"/>
      <c r="B432" s="19" t="n"/>
      <c r="C432" s="1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</row>
    <row r="433" ht="12" customHeight="1">
      <c r="A433" s="9" t="n"/>
      <c r="B433" s="19" t="n"/>
      <c r="C433" s="1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</row>
    <row r="434" ht="12" customHeight="1">
      <c r="A434" s="9" t="n"/>
      <c r="B434" s="19" t="n"/>
      <c r="C434" s="1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</row>
    <row r="435" ht="12" customHeight="1">
      <c r="A435" s="9" t="n"/>
      <c r="B435" s="19" t="n"/>
      <c r="C435" s="1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</row>
    <row r="436" ht="12" customHeight="1">
      <c r="A436" s="9" t="n"/>
      <c r="B436" s="19" t="n"/>
      <c r="C436" s="1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</row>
    <row r="437" ht="12" customHeight="1">
      <c r="A437" s="9" t="n"/>
      <c r="B437" s="19" t="n"/>
      <c r="C437" s="1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</row>
    <row r="438" ht="12" customHeight="1">
      <c r="A438" s="9" t="n"/>
      <c r="B438" s="19" t="n"/>
      <c r="C438" s="1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</row>
    <row r="439" ht="12" customHeight="1">
      <c r="A439" s="9" t="n"/>
      <c r="B439" s="19" t="n"/>
      <c r="C439" s="1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</row>
    <row r="440" ht="12" customHeight="1">
      <c r="A440" s="9" t="n"/>
      <c r="B440" s="19" t="n"/>
      <c r="C440" s="1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</row>
    <row r="441" ht="12" customHeight="1">
      <c r="A441" s="9" t="n"/>
      <c r="B441" s="19" t="n"/>
      <c r="C441" s="1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</row>
    <row r="442" ht="12" customHeight="1">
      <c r="A442" s="9" t="n"/>
      <c r="B442" s="19" t="n"/>
      <c r="C442" s="1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</row>
    <row r="443" ht="12" customHeight="1">
      <c r="A443" s="9" t="n"/>
      <c r="B443" s="19" t="n"/>
      <c r="C443" s="1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</row>
    <row r="444" ht="12" customHeight="1">
      <c r="A444" s="9" t="n"/>
      <c r="B444" s="19" t="n"/>
      <c r="C444" s="1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</row>
    <row r="445" ht="12" customHeight="1">
      <c r="A445" s="9" t="n"/>
      <c r="B445" s="19" t="n"/>
      <c r="C445" s="1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</row>
    <row r="446" ht="12" customHeight="1">
      <c r="A446" s="9" t="n"/>
      <c r="B446" s="19" t="n"/>
      <c r="C446" s="1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</row>
    <row r="447" ht="12" customHeight="1">
      <c r="A447" s="9" t="n"/>
      <c r="B447" s="19" t="n"/>
      <c r="C447" s="1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</row>
    <row r="448" ht="12" customHeight="1">
      <c r="A448" s="9" t="n"/>
      <c r="B448" s="19" t="n"/>
      <c r="C448" s="1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</row>
    <row r="449" ht="12" customHeight="1">
      <c r="A449" s="9" t="n"/>
      <c r="B449" s="19" t="n"/>
      <c r="C449" s="1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</row>
    <row r="450" ht="12" customHeight="1">
      <c r="A450" s="9" t="n"/>
      <c r="B450" s="19" t="n"/>
      <c r="C450" s="1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</row>
    <row r="451" ht="12" customHeight="1">
      <c r="A451" s="9" t="n"/>
      <c r="B451" s="19" t="n"/>
      <c r="C451" s="1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</row>
    <row r="452" ht="12" customHeight="1">
      <c r="A452" s="9" t="n"/>
      <c r="B452" s="19" t="n"/>
      <c r="C452" s="1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</row>
    <row r="453" ht="12" customHeight="1">
      <c r="A453" s="9" t="n"/>
      <c r="B453" s="19" t="n"/>
      <c r="C453" s="1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</row>
    <row r="454" ht="12" customHeight="1">
      <c r="A454" s="9" t="n"/>
      <c r="B454" s="19" t="n"/>
      <c r="C454" s="1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</row>
    <row r="455" ht="12" customHeight="1">
      <c r="A455" s="9" t="n"/>
      <c r="B455" s="19" t="n"/>
      <c r="C455" s="1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</row>
    <row r="456" ht="12" customHeight="1">
      <c r="A456" s="9" t="n"/>
      <c r="B456" s="19" t="n"/>
      <c r="C456" s="1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</row>
    <row r="457" ht="12" customHeight="1">
      <c r="A457" s="9" t="n"/>
      <c r="B457" s="19" t="n"/>
      <c r="C457" s="1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</row>
    <row r="458" ht="12" customHeight="1">
      <c r="A458" s="9" t="n"/>
      <c r="B458" s="19" t="n"/>
      <c r="C458" s="1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</row>
    <row r="459" ht="12" customHeight="1">
      <c r="A459" s="9" t="n"/>
      <c r="B459" s="19" t="n"/>
      <c r="C459" s="1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</row>
    <row r="460" ht="12" customHeight="1">
      <c r="A460" s="9" t="n"/>
      <c r="B460" s="19" t="n"/>
      <c r="C460" s="1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</row>
    <row r="461" ht="12" customHeight="1">
      <c r="A461" s="9" t="n"/>
      <c r="B461" s="19" t="n"/>
      <c r="C461" s="1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</row>
    <row r="462" ht="12" customHeight="1">
      <c r="A462" s="9" t="n"/>
      <c r="B462" s="19" t="n"/>
      <c r="C462" s="1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</row>
    <row r="463" ht="12" customHeight="1">
      <c r="A463" s="9" t="n"/>
      <c r="B463" s="19" t="n"/>
      <c r="C463" s="1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</row>
    <row r="464" ht="12" customHeight="1">
      <c r="A464" s="9" t="n"/>
      <c r="B464" s="19" t="n"/>
      <c r="C464" s="1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</row>
    <row r="465" ht="12" customHeight="1">
      <c r="A465" s="9" t="n"/>
      <c r="B465" s="19" t="n"/>
      <c r="C465" s="1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</row>
    <row r="466" ht="12" customHeight="1">
      <c r="A466" s="9" t="n"/>
      <c r="B466" s="19" t="n"/>
      <c r="C466" s="1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</row>
    <row r="467" ht="12" customHeight="1">
      <c r="A467" s="9" t="n"/>
      <c r="B467" s="19" t="n"/>
      <c r="C467" s="1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</row>
    <row r="468" ht="12" customHeight="1">
      <c r="A468" s="9" t="n"/>
      <c r="B468" s="19" t="n"/>
      <c r="C468" s="1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</row>
    <row r="469" ht="12" customHeight="1">
      <c r="A469" s="9" t="n"/>
      <c r="B469" s="19" t="n"/>
      <c r="C469" s="1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</row>
    <row r="470" ht="12" customHeight="1">
      <c r="A470" s="9" t="n"/>
      <c r="B470" s="19" t="n"/>
      <c r="C470" s="1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</row>
    <row r="471" ht="12" customHeight="1">
      <c r="A471" s="9" t="n"/>
      <c r="B471" s="19" t="n"/>
      <c r="C471" s="1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</row>
    <row r="472" ht="12" customHeight="1">
      <c r="A472" s="9" t="n"/>
      <c r="B472" s="19" t="n"/>
      <c r="C472" s="1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</row>
    <row r="473" ht="12" customHeight="1">
      <c r="A473" s="9" t="n"/>
      <c r="B473" s="19" t="n"/>
      <c r="C473" s="1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</row>
    <row r="474" ht="12" customHeight="1">
      <c r="A474" s="9" t="n"/>
      <c r="B474" s="19" t="n"/>
      <c r="C474" s="1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</row>
    <row r="475" ht="12" customHeight="1">
      <c r="A475" s="9" t="n"/>
      <c r="B475" s="19" t="n"/>
      <c r="C475" s="1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</row>
    <row r="476" ht="12" customHeight="1">
      <c r="A476" s="9" t="n"/>
      <c r="B476" s="19" t="n"/>
      <c r="C476" s="1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</row>
    <row r="477" ht="12" customHeight="1">
      <c r="A477" s="9" t="n"/>
      <c r="B477" s="19" t="n"/>
      <c r="C477" s="1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</row>
    <row r="478" ht="12" customHeight="1">
      <c r="A478" s="9" t="n"/>
      <c r="B478" s="19" t="n"/>
      <c r="C478" s="1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</row>
    <row r="479" ht="12" customHeight="1">
      <c r="A479" s="9" t="n"/>
      <c r="B479" s="19" t="n"/>
      <c r="C479" s="1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</row>
    <row r="480" ht="12" customHeight="1">
      <c r="A480" s="9" t="n"/>
      <c r="B480" s="19" t="n"/>
      <c r="C480" s="1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</row>
    <row r="481" ht="12" customHeight="1">
      <c r="A481" s="9" t="n"/>
      <c r="B481" s="19" t="n"/>
      <c r="C481" s="1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</row>
    <row r="482" ht="12" customHeight="1">
      <c r="A482" s="9" t="n"/>
      <c r="B482" s="19" t="n"/>
      <c r="C482" s="1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</row>
    <row r="483" ht="12" customHeight="1">
      <c r="A483" s="9" t="n"/>
      <c r="B483" s="19" t="n"/>
      <c r="C483" s="1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</row>
    <row r="484" ht="12" customHeight="1">
      <c r="A484" s="9" t="n"/>
      <c r="B484" s="19" t="n"/>
      <c r="C484" s="1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</row>
    <row r="485" ht="12" customHeight="1">
      <c r="A485" s="9" t="n"/>
      <c r="B485" s="19" t="n"/>
      <c r="C485" s="1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</row>
    <row r="486" ht="12" customHeight="1">
      <c r="A486" s="9" t="n"/>
      <c r="B486" s="19" t="n"/>
      <c r="C486" s="1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</row>
    <row r="487" ht="12" customHeight="1">
      <c r="A487" s="9" t="n"/>
      <c r="B487" s="19" t="n"/>
      <c r="C487" s="1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</row>
    <row r="488" ht="12" customHeight="1">
      <c r="A488" s="9" t="n"/>
      <c r="B488" s="19" t="n"/>
      <c r="C488" s="1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</row>
    <row r="489" ht="12" customHeight="1">
      <c r="A489" s="9" t="n"/>
      <c r="B489" s="19" t="n"/>
      <c r="C489" s="1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</row>
    <row r="490" ht="12" customHeight="1">
      <c r="A490" s="9" t="n"/>
      <c r="B490" s="19" t="n"/>
      <c r="C490" s="1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</row>
    <row r="491" ht="12" customHeight="1">
      <c r="A491" s="9" t="n"/>
      <c r="B491" s="19" t="n"/>
      <c r="C491" s="1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</row>
    <row r="492" ht="12" customHeight="1">
      <c r="A492" s="9" t="n"/>
      <c r="B492" s="19" t="n"/>
      <c r="C492" s="1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</row>
    <row r="493" ht="12" customHeight="1">
      <c r="A493" s="9" t="n"/>
      <c r="B493" s="19" t="n"/>
      <c r="C493" s="1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</row>
    <row r="494" ht="12" customHeight="1">
      <c r="A494" s="9" t="n"/>
      <c r="B494" s="19" t="n"/>
      <c r="C494" s="1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</row>
    <row r="495" ht="12" customHeight="1">
      <c r="A495" s="9" t="n"/>
      <c r="B495" s="19" t="n"/>
      <c r="C495" s="1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</row>
    <row r="496" ht="12" customHeight="1">
      <c r="A496" s="9" t="n"/>
      <c r="B496" s="19" t="n"/>
      <c r="C496" s="1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</row>
    <row r="497" ht="12" customHeight="1">
      <c r="A497" s="9" t="n"/>
      <c r="B497" s="19" t="n"/>
      <c r="C497" s="1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</row>
    <row r="498" ht="12" customHeight="1">
      <c r="A498" s="9" t="n"/>
      <c r="B498" s="19" t="n"/>
      <c r="C498" s="1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</row>
    <row r="499" ht="12" customHeight="1">
      <c r="A499" s="9" t="n"/>
      <c r="B499" s="19" t="n"/>
      <c r="C499" s="1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</row>
    <row r="500" ht="12" customHeight="1">
      <c r="A500" s="9" t="n"/>
      <c r="B500" s="19" t="n"/>
      <c r="C500" s="1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</row>
    <row r="501" ht="12" customHeight="1">
      <c r="A501" s="9" t="n"/>
      <c r="B501" s="19" t="n"/>
      <c r="C501" s="1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</row>
    <row r="502" ht="12" customHeight="1">
      <c r="A502" s="9" t="n"/>
      <c r="B502" s="19" t="n"/>
      <c r="C502" s="1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</row>
    <row r="503" ht="12" customHeight="1">
      <c r="A503" s="9" t="n"/>
      <c r="B503" s="19" t="n"/>
      <c r="C503" s="1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</row>
    <row r="504" ht="12" customHeight="1">
      <c r="A504" s="9" t="n"/>
      <c r="B504" s="19" t="n"/>
      <c r="C504" s="1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</row>
    <row r="505" ht="12" customHeight="1">
      <c r="A505" s="9" t="n"/>
      <c r="B505" s="19" t="n"/>
      <c r="C505" s="1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</row>
    <row r="506" ht="12" customHeight="1">
      <c r="A506" s="9" t="n"/>
      <c r="B506" s="19" t="n"/>
      <c r="C506" s="1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</row>
    <row r="507" ht="12" customHeight="1">
      <c r="A507" s="9" t="n"/>
      <c r="B507" s="19" t="n"/>
      <c r="C507" s="1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</row>
    <row r="508" ht="12" customHeight="1">
      <c r="A508" s="9" t="n"/>
      <c r="B508" s="19" t="n"/>
      <c r="C508" s="1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</row>
    <row r="509" ht="12" customHeight="1">
      <c r="A509" s="9" t="n"/>
      <c r="B509" s="19" t="n"/>
      <c r="C509" s="1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</row>
    <row r="510" ht="12" customHeight="1">
      <c r="A510" s="9" t="n"/>
      <c r="B510" s="19" t="n"/>
      <c r="C510" s="1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</row>
    <row r="511" ht="12" customHeight="1">
      <c r="A511" s="9" t="n"/>
      <c r="B511" s="19" t="n"/>
      <c r="C511" s="1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</row>
    <row r="512" ht="12" customHeight="1">
      <c r="A512" s="9" t="n"/>
      <c r="B512" s="19" t="n"/>
      <c r="C512" s="1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</row>
    <row r="513" ht="12" customHeight="1">
      <c r="A513" s="9" t="n"/>
      <c r="B513" s="19" t="n"/>
      <c r="C513" s="1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</row>
    <row r="514" ht="12" customHeight="1">
      <c r="A514" s="9" t="n"/>
      <c r="B514" s="19" t="n"/>
      <c r="C514" s="1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</row>
    <row r="515" ht="12" customHeight="1">
      <c r="A515" s="9" t="n"/>
      <c r="B515" s="19" t="n"/>
      <c r="C515" s="1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</row>
    <row r="516" ht="12" customHeight="1">
      <c r="A516" s="9" t="n"/>
      <c r="B516" s="19" t="n"/>
      <c r="C516" s="1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</row>
    <row r="517" ht="12" customHeight="1">
      <c r="A517" s="9" t="n"/>
      <c r="B517" s="19" t="n"/>
      <c r="C517" s="1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</row>
    <row r="518" ht="12" customHeight="1">
      <c r="A518" s="9" t="n"/>
      <c r="B518" s="19" t="n"/>
      <c r="C518" s="1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</row>
    <row r="519" ht="12" customHeight="1">
      <c r="A519" s="9" t="n"/>
      <c r="B519" s="19" t="n"/>
      <c r="C519" s="1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</row>
    <row r="520" ht="12" customHeight="1">
      <c r="A520" s="9" t="n"/>
      <c r="B520" s="19" t="n"/>
      <c r="C520" s="1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</row>
    <row r="521" ht="12" customHeight="1">
      <c r="A521" s="9" t="n"/>
      <c r="B521" s="19" t="n"/>
      <c r="C521" s="1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</row>
    <row r="522" ht="12" customHeight="1">
      <c r="A522" s="9" t="n"/>
      <c r="B522" s="19" t="n"/>
      <c r="C522" s="1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</row>
    <row r="523" ht="12" customHeight="1">
      <c r="A523" s="9" t="n"/>
      <c r="B523" s="19" t="n"/>
      <c r="C523" s="1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</row>
    <row r="524" ht="12" customHeight="1">
      <c r="A524" s="9" t="n"/>
      <c r="B524" s="19" t="n"/>
      <c r="C524" s="1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</row>
    <row r="525" ht="12" customHeight="1">
      <c r="A525" s="9" t="n"/>
      <c r="B525" s="19" t="n"/>
      <c r="C525" s="1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</row>
    <row r="526" ht="12" customHeight="1">
      <c r="A526" s="9" t="n"/>
      <c r="B526" s="19" t="n"/>
      <c r="C526" s="1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</row>
    <row r="527" ht="12" customHeight="1">
      <c r="A527" s="9" t="n"/>
      <c r="B527" s="19" t="n"/>
      <c r="C527" s="1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</row>
    <row r="528" ht="12" customHeight="1">
      <c r="A528" s="9" t="n"/>
      <c r="B528" s="19" t="n"/>
      <c r="C528" s="1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</row>
    <row r="529" ht="12" customHeight="1">
      <c r="A529" s="9" t="n"/>
      <c r="B529" s="19" t="n"/>
      <c r="C529" s="1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</row>
    <row r="530" ht="12" customHeight="1">
      <c r="A530" s="9" t="n"/>
      <c r="B530" s="19" t="n"/>
      <c r="C530" s="1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</row>
    <row r="531" ht="12" customHeight="1">
      <c r="A531" s="9" t="n"/>
      <c r="B531" s="19" t="n"/>
      <c r="C531" s="1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</row>
    <row r="532" ht="12" customHeight="1">
      <c r="A532" s="9" t="n"/>
      <c r="B532" s="19" t="n"/>
      <c r="C532" s="1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</row>
    <row r="533" ht="12" customHeight="1">
      <c r="A533" s="9" t="n"/>
      <c r="B533" s="19" t="n"/>
      <c r="C533" s="1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</row>
    <row r="534" ht="12" customHeight="1">
      <c r="A534" s="9" t="n"/>
      <c r="B534" s="19" t="n"/>
      <c r="C534" s="1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</row>
    <row r="535" ht="12" customHeight="1">
      <c r="A535" s="9" t="n"/>
      <c r="B535" s="19" t="n"/>
      <c r="C535" s="1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</row>
    <row r="536" ht="12" customHeight="1">
      <c r="A536" s="9" t="n"/>
      <c r="B536" s="19" t="n"/>
      <c r="C536" s="1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</row>
    <row r="537" ht="12" customHeight="1">
      <c r="A537" s="9" t="n"/>
      <c r="B537" s="19" t="n"/>
      <c r="C537" s="1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</row>
    <row r="538" ht="12" customHeight="1">
      <c r="A538" s="9" t="n"/>
      <c r="B538" s="19" t="n"/>
      <c r="C538" s="1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</row>
    <row r="539" ht="12" customHeight="1">
      <c r="A539" s="9" t="n"/>
      <c r="B539" s="19" t="n"/>
      <c r="C539" s="1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</row>
    <row r="540" ht="12" customHeight="1">
      <c r="A540" s="9" t="n"/>
      <c r="B540" s="19" t="n"/>
      <c r="C540" s="1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</row>
    <row r="541" ht="12" customHeight="1">
      <c r="A541" s="9" t="n"/>
      <c r="B541" s="19" t="n"/>
      <c r="C541" s="1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</row>
    <row r="542" ht="12" customHeight="1">
      <c r="A542" s="9" t="n"/>
      <c r="B542" s="19" t="n"/>
      <c r="C542" s="1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</row>
    <row r="543" ht="12" customHeight="1">
      <c r="A543" s="9" t="n"/>
      <c r="B543" s="19" t="n"/>
      <c r="C543" s="1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</row>
    <row r="544" ht="12" customHeight="1">
      <c r="A544" s="9" t="n"/>
      <c r="B544" s="19" t="n"/>
      <c r="C544" s="1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</row>
    <row r="545" ht="12" customHeight="1">
      <c r="A545" s="9" t="n"/>
      <c r="B545" s="19" t="n"/>
      <c r="C545" s="1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</row>
    <row r="546" ht="12" customHeight="1">
      <c r="A546" s="9" t="n"/>
      <c r="B546" s="19" t="n"/>
      <c r="C546" s="1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</row>
    <row r="547" ht="12" customHeight="1">
      <c r="A547" s="9" t="n"/>
      <c r="B547" s="19" t="n"/>
      <c r="C547" s="1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</row>
    <row r="548" ht="12" customHeight="1">
      <c r="A548" s="9" t="n"/>
      <c r="B548" s="19" t="n"/>
      <c r="C548" s="1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</row>
    <row r="549" ht="12" customHeight="1">
      <c r="A549" s="9" t="n"/>
      <c r="B549" s="19" t="n"/>
      <c r="C549" s="1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</row>
    <row r="550" ht="12" customHeight="1">
      <c r="A550" s="9" t="n"/>
      <c r="B550" s="19" t="n"/>
      <c r="C550" s="1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</row>
    <row r="551" ht="12" customHeight="1">
      <c r="A551" s="9" t="n"/>
      <c r="B551" s="19" t="n"/>
      <c r="C551" s="1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</row>
    <row r="552" ht="12" customHeight="1">
      <c r="A552" s="9" t="n"/>
      <c r="B552" s="19" t="n"/>
      <c r="C552" s="1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</row>
    <row r="553" ht="12" customHeight="1">
      <c r="A553" s="9" t="n"/>
      <c r="B553" s="19" t="n"/>
      <c r="C553" s="1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</row>
    <row r="554" ht="12" customHeight="1">
      <c r="A554" s="9" t="n"/>
      <c r="B554" s="19" t="n"/>
      <c r="C554" s="1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</row>
    <row r="555" ht="12" customHeight="1">
      <c r="A555" s="9" t="n"/>
      <c r="B555" s="19" t="n"/>
      <c r="C555" s="1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</row>
    <row r="556" ht="12" customHeight="1">
      <c r="A556" s="9" t="n"/>
      <c r="B556" s="19" t="n"/>
      <c r="C556" s="1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</row>
    <row r="557" ht="12" customHeight="1">
      <c r="A557" s="9" t="n"/>
      <c r="B557" s="19" t="n"/>
      <c r="C557" s="1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</row>
    <row r="558" ht="12" customHeight="1">
      <c r="A558" s="9" t="n"/>
      <c r="B558" s="19" t="n"/>
      <c r="C558" s="1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</row>
    <row r="559" ht="12" customHeight="1">
      <c r="A559" s="9" t="n"/>
      <c r="B559" s="19" t="n"/>
      <c r="C559" s="1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</row>
    <row r="560" ht="12" customHeight="1">
      <c r="A560" s="9" t="n"/>
      <c r="B560" s="19" t="n"/>
      <c r="C560" s="1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</row>
    <row r="561" ht="12" customHeight="1">
      <c r="A561" s="9" t="n"/>
      <c r="B561" s="19" t="n"/>
      <c r="C561" s="1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</row>
    <row r="562" ht="12" customHeight="1">
      <c r="A562" s="9" t="n"/>
      <c r="B562" s="19" t="n"/>
      <c r="C562" s="1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</row>
    <row r="563" ht="12" customHeight="1">
      <c r="A563" s="9" t="n"/>
      <c r="B563" s="19" t="n"/>
      <c r="C563" s="1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</row>
    <row r="564" ht="12" customHeight="1">
      <c r="A564" s="9" t="n"/>
      <c r="B564" s="19" t="n"/>
      <c r="C564" s="1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</row>
    <row r="565" ht="12" customHeight="1">
      <c r="A565" s="9" t="n"/>
      <c r="B565" s="19" t="n"/>
      <c r="C565" s="1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</row>
    <row r="566" ht="12" customHeight="1">
      <c r="A566" s="9" t="n"/>
      <c r="B566" s="19" t="n"/>
      <c r="C566" s="1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</row>
    <row r="567" ht="12" customHeight="1">
      <c r="A567" s="9" t="n"/>
      <c r="B567" s="19" t="n"/>
      <c r="C567" s="1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</row>
    <row r="568" ht="12" customHeight="1">
      <c r="A568" s="9" t="n"/>
      <c r="B568" s="19" t="n"/>
      <c r="C568" s="1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</row>
    <row r="569" ht="12" customHeight="1">
      <c r="A569" s="9" t="n"/>
      <c r="B569" s="19" t="n"/>
      <c r="C569" s="1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</row>
    <row r="570" ht="12" customHeight="1">
      <c r="A570" s="9" t="n"/>
      <c r="B570" s="19" t="n"/>
      <c r="C570" s="1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</row>
    <row r="571" ht="12" customHeight="1">
      <c r="A571" s="9" t="n"/>
      <c r="B571" s="19" t="n"/>
      <c r="C571" s="1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</row>
    <row r="572" ht="12" customHeight="1">
      <c r="A572" s="9" t="n"/>
      <c r="B572" s="19" t="n"/>
      <c r="C572" s="1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</row>
    <row r="573" ht="12" customHeight="1">
      <c r="A573" s="9" t="n"/>
      <c r="B573" s="19" t="n"/>
      <c r="C573" s="1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</row>
    <row r="574" ht="12" customHeight="1">
      <c r="A574" s="9" t="n"/>
      <c r="B574" s="19" t="n"/>
      <c r="C574" s="1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</row>
    <row r="575" ht="12" customHeight="1">
      <c r="A575" s="9" t="n"/>
      <c r="B575" s="19" t="n"/>
      <c r="C575" s="1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</row>
    <row r="576" ht="12" customHeight="1">
      <c r="A576" s="9" t="n"/>
      <c r="B576" s="19" t="n"/>
      <c r="C576" s="1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</row>
    <row r="577" ht="12" customHeight="1">
      <c r="A577" s="9" t="n"/>
      <c r="B577" s="19" t="n"/>
      <c r="C577" s="1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</row>
    <row r="578" ht="12" customHeight="1">
      <c r="A578" s="9" t="n"/>
      <c r="B578" s="19" t="n"/>
      <c r="C578" s="1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</row>
    <row r="579" ht="12" customHeight="1">
      <c r="A579" s="9" t="n"/>
      <c r="B579" s="19" t="n"/>
      <c r="C579" s="1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</row>
    <row r="580" ht="12" customHeight="1">
      <c r="A580" s="9" t="n"/>
      <c r="B580" s="19" t="n"/>
      <c r="C580" s="1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</row>
    <row r="581" ht="12" customHeight="1">
      <c r="A581" s="9" t="n"/>
      <c r="B581" s="19" t="n"/>
      <c r="C581" s="1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</row>
    <row r="582" ht="12" customHeight="1">
      <c r="A582" s="9" t="n"/>
      <c r="B582" s="19" t="n"/>
      <c r="C582" s="1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</row>
    <row r="583" ht="12" customHeight="1">
      <c r="A583" s="9" t="n"/>
      <c r="B583" s="19" t="n"/>
      <c r="C583" s="1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</row>
    <row r="584" ht="12" customHeight="1">
      <c r="A584" s="9" t="n"/>
      <c r="B584" s="19" t="n"/>
      <c r="C584" s="1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</row>
    <row r="585" ht="12" customHeight="1">
      <c r="A585" s="9" t="n"/>
      <c r="B585" s="19" t="n"/>
      <c r="C585" s="1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</row>
    <row r="586" ht="12" customHeight="1">
      <c r="A586" s="9" t="n"/>
      <c r="B586" s="19" t="n"/>
      <c r="C586" s="1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</row>
    <row r="587" ht="12" customHeight="1">
      <c r="A587" s="9" t="n"/>
      <c r="B587" s="19" t="n"/>
      <c r="C587" s="1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</row>
    <row r="588" ht="12" customHeight="1">
      <c r="A588" s="9" t="n"/>
      <c r="B588" s="19" t="n"/>
      <c r="C588" s="1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</row>
    <row r="589" ht="12" customHeight="1">
      <c r="A589" s="9" t="n"/>
      <c r="B589" s="19" t="n"/>
      <c r="C589" s="1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</row>
    <row r="590" ht="12" customHeight="1">
      <c r="A590" s="9" t="n"/>
      <c r="B590" s="19" t="n"/>
      <c r="C590" s="1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</row>
    <row r="591" ht="12" customHeight="1">
      <c r="A591" s="9" t="n"/>
      <c r="B591" s="19" t="n"/>
      <c r="C591" s="1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</row>
    <row r="592" ht="12" customHeight="1">
      <c r="A592" s="9" t="n"/>
      <c r="B592" s="19" t="n"/>
      <c r="C592" s="1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</row>
    <row r="593" ht="12" customHeight="1">
      <c r="A593" s="9" t="n"/>
      <c r="B593" s="19" t="n"/>
      <c r="C593" s="1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</row>
    <row r="594" ht="12" customHeight="1">
      <c r="A594" s="9" t="n"/>
      <c r="B594" s="19" t="n"/>
      <c r="C594" s="1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</row>
    <row r="595" ht="12" customHeight="1">
      <c r="A595" s="9" t="n"/>
      <c r="B595" s="19" t="n"/>
      <c r="C595" s="1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</row>
    <row r="596" ht="12" customHeight="1">
      <c r="A596" s="9" t="n"/>
      <c r="B596" s="19" t="n"/>
      <c r="C596" s="1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</row>
    <row r="597" ht="12" customHeight="1">
      <c r="A597" s="9" t="n"/>
      <c r="B597" s="19" t="n"/>
      <c r="C597" s="1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</row>
    <row r="598" ht="12" customHeight="1">
      <c r="A598" s="9" t="n"/>
      <c r="B598" s="19" t="n"/>
      <c r="C598" s="1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</row>
    <row r="599" ht="12" customHeight="1">
      <c r="A599" s="9" t="n"/>
      <c r="B599" s="19" t="n"/>
      <c r="C599" s="1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</row>
    <row r="600" ht="12" customHeight="1">
      <c r="A600" s="9" t="n"/>
      <c r="B600" s="19" t="n"/>
      <c r="C600" s="1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</row>
    <row r="601" ht="12" customHeight="1">
      <c r="A601" s="9" t="n"/>
      <c r="B601" s="19" t="n"/>
      <c r="C601" s="1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</row>
    <row r="602" ht="12" customHeight="1">
      <c r="A602" s="9" t="n"/>
      <c r="B602" s="19" t="n"/>
      <c r="C602" s="1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</row>
    <row r="603" ht="12" customHeight="1">
      <c r="A603" s="9" t="n"/>
      <c r="B603" s="19" t="n"/>
      <c r="C603" s="1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</row>
    <row r="604" ht="12" customHeight="1">
      <c r="A604" s="9" t="n"/>
      <c r="B604" s="19" t="n"/>
      <c r="C604" s="1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</row>
    <row r="605" ht="12" customHeight="1">
      <c r="A605" s="9" t="n"/>
      <c r="B605" s="19" t="n"/>
      <c r="C605" s="1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</row>
    <row r="606" ht="12" customHeight="1">
      <c r="A606" s="9" t="n"/>
      <c r="B606" s="19" t="n"/>
      <c r="C606" s="1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</row>
    <row r="607" ht="12" customHeight="1">
      <c r="A607" s="9" t="n"/>
      <c r="B607" s="19" t="n"/>
      <c r="C607" s="1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</row>
    <row r="608" ht="12" customHeight="1">
      <c r="A608" s="9" t="n"/>
      <c r="B608" s="19" t="n"/>
      <c r="C608" s="1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</row>
    <row r="609" ht="12" customHeight="1">
      <c r="A609" s="9" t="n"/>
      <c r="B609" s="19" t="n"/>
      <c r="C609" s="1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</row>
    <row r="610" ht="12" customHeight="1">
      <c r="A610" s="9" t="n"/>
      <c r="B610" s="19" t="n"/>
      <c r="C610" s="1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</row>
    <row r="611" ht="12" customHeight="1">
      <c r="A611" s="9" t="n"/>
      <c r="B611" s="19" t="n"/>
      <c r="C611" s="1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</row>
    <row r="612" ht="12" customHeight="1">
      <c r="A612" s="9" t="n"/>
      <c r="B612" s="19" t="n"/>
      <c r="C612" s="1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</row>
    <row r="613" ht="12" customHeight="1">
      <c r="A613" s="9" t="n"/>
      <c r="B613" s="19" t="n"/>
      <c r="C613" s="1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</row>
    <row r="614" ht="12" customHeight="1">
      <c r="A614" s="9" t="n"/>
      <c r="B614" s="19" t="n"/>
      <c r="C614" s="1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</row>
    <row r="615" ht="12" customHeight="1">
      <c r="A615" s="9" t="n"/>
      <c r="B615" s="19" t="n"/>
      <c r="C615" s="1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</row>
    <row r="616" ht="12" customHeight="1">
      <c r="A616" s="9" t="n"/>
      <c r="B616" s="19" t="n"/>
      <c r="C616" s="1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</row>
    <row r="617" ht="12" customHeight="1">
      <c r="A617" s="9" t="n"/>
      <c r="B617" s="19" t="n"/>
      <c r="C617" s="1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</row>
    <row r="618" ht="12" customHeight="1">
      <c r="A618" s="9" t="n"/>
      <c r="B618" s="19" t="n"/>
      <c r="C618" s="1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</row>
    <row r="619" ht="12" customHeight="1">
      <c r="A619" s="9" t="n"/>
      <c r="B619" s="19" t="n"/>
      <c r="C619" s="1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</row>
    <row r="620" ht="12" customHeight="1">
      <c r="A620" s="9" t="n"/>
      <c r="B620" s="19" t="n"/>
      <c r="C620" s="1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</row>
    <row r="621" ht="12" customHeight="1">
      <c r="A621" s="9" t="n"/>
      <c r="B621" s="19" t="n"/>
      <c r="C621" s="1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</row>
    <row r="622" ht="12" customHeight="1">
      <c r="A622" s="9" t="n"/>
      <c r="B622" s="19" t="n"/>
      <c r="C622" s="1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</row>
    <row r="623" ht="12" customHeight="1">
      <c r="A623" s="9" t="n"/>
      <c r="B623" s="19" t="n"/>
      <c r="C623" s="1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</row>
    <row r="624" ht="12" customHeight="1">
      <c r="A624" s="9" t="n"/>
      <c r="B624" s="19" t="n"/>
      <c r="C624" s="1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</row>
    <row r="625" ht="12" customHeight="1">
      <c r="A625" s="9" t="n"/>
      <c r="B625" s="19" t="n"/>
      <c r="C625" s="1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</row>
    <row r="626" ht="12" customHeight="1">
      <c r="A626" s="9" t="n"/>
      <c r="B626" s="19" t="n"/>
      <c r="C626" s="1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</row>
    <row r="627" ht="12" customHeight="1">
      <c r="A627" s="9" t="n"/>
      <c r="B627" s="19" t="n"/>
      <c r="C627" s="1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</row>
    <row r="628" ht="12" customHeight="1">
      <c r="A628" s="9" t="n"/>
      <c r="B628" s="19" t="n"/>
      <c r="C628" s="1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</row>
    <row r="629" ht="12" customHeight="1">
      <c r="A629" s="9" t="n"/>
      <c r="B629" s="19" t="n"/>
      <c r="C629" s="1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</row>
    <row r="630" ht="12" customHeight="1">
      <c r="A630" s="9" t="n"/>
      <c r="B630" s="19" t="n"/>
      <c r="C630" s="1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</row>
    <row r="631" ht="12" customHeight="1">
      <c r="A631" s="9" t="n"/>
      <c r="B631" s="19" t="n"/>
      <c r="C631" s="1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</row>
    <row r="632" ht="12" customHeight="1">
      <c r="A632" s="9" t="n"/>
      <c r="B632" s="19" t="n"/>
      <c r="C632" s="1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</row>
    <row r="633" ht="12" customHeight="1">
      <c r="A633" s="9" t="n"/>
      <c r="B633" s="19" t="n"/>
      <c r="C633" s="1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</row>
    <row r="634" ht="12" customHeight="1">
      <c r="A634" s="9" t="n"/>
      <c r="B634" s="19" t="n"/>
      <c r="C634" s="1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</row>
    <row r="635" ht="12" customHeight="1">
      <c r="A635" s="9" t="n"/>
      <c r="B635" s="19" t="n"/>
      <c r="C635" s="1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</row>
    <row r="636" ht="12" customHeight="1">
      <c r="A636" s="9" t="n"/>
      <c r="B636" s="19" t="n"/>
      <c r="C636" s="1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</row>
    <row r="637" ht="12" customHeight="1">
      <c r="A637" s="9" t="n"/>
      <c r="B637" s="19" t="n"/>
      <c r="C637" s="1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</row>
    <row r="638" ht="12" customHeight="1">
      <c r="A638" s="9" t="n"/>
      <c r="B638" s="19" t="n"/>
      <c r="C638" s="1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</row>
    <row r="639" ht="12" customHeight="1">
      <c r="A639" s="9" t="n"/>
      <c r="B639" s="19" t="n"/>
      <c r="C639" s="1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</row>
    <row r="640" ht="12" customHeight="1">
      <c r="A640" s="9" t="n"/>
      <c r="B640" s="19" t="n"/>
      <c r="C640" s="1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</row>
    <row r="641" ht="12" customHeight="1">
      <c r="A641" s="9" t="n"/>
      <c r="B641" s="19" t="n"/>
      <c r="C641" s="1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</row>
    <row r="642" ht="12" customHeight="1">
      <c r="A642" s="9" t="n"/>
      <c r="B642" s="19" t="n"/>
      <c r="C642" s="1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</row>
    <row r="643" ht="12" customHeight="1">
      <c r="A643" s="9" t="n"/>
      <c r="B643" s="19" t="n"/>
      <c r="C643" s="1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</row>
    <row r="644" ht="12" customHeight="1">
      <c r="A644" s="9" t="n"/>
      <c r="B644" s="19" t="n"/>
      <c r="C644" s="1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</row>
    <row r="645" ht="12" customHeight="1">
      <c r="A645" s="9" t="n"/>
      <c r="B645" s="19" t="n"/>
      <c r="C645" s="1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</row>
    <row r="646" ht="12" customHeight="1">
      <c r="A646" s="9" t="n"/>
      <c r="B646" s="19" t="n"/>
      <c r="C646" s="1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</row>
    <row r="647" ht="12" customHeight="1">
      <c r="A647" s="9" t="n"/>
      <c r="B647" s="19" t="n"/>
      <c r="C647" s="1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</row>
    <row r="648" ht="12" customHeight="1">
      <c r="A648" s="9" t="n"/>
      <c r="B648" s="19" t="n"/>
      <c r="C648" s="1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</row>
    <row r="649" ht="12" customHeight="1">
      <c r="A649" s="9" t="n"/>
      <c r="B649" s="19" t="n"/>
      <c r="C649" s="1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</row>
    <row r="650" ht="12" customHeight="1">
      <c r="A650" s="9" t="n"/>
      <c r="B650" s="19" t="n"/>
      <c r="C650" s="1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</row>
    <row r="651" ht="12" customHeight="1">
      <c r="A651" s="9" t="n"/>
      <c r="B651" s="19" t="n"/>
      <c r="C651" s="1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</row>
    <row r="652" ht="12" customHeight="1">
      <c r="A652" s="9" t="n"/>
      <c r="B652" s="19" t="n"/>
      <c r="C652" s="1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</row>
    <row r="653" ht="12" customHeight="1">
      <c r="A653" s="9" t="n"/>
      <c r="B653" s="19" t="n"/>
      <c r="C653" s="1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</row>
    <row r="654" ht="12" customHeight="1">
      <c r="A654" s="9" t="n"/>
      <c r="B654" s="19" t="n"/>
      <c r="C654" s="1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</row>
    <row r="655" ht="12" customHeight="1">
      <c r="A655" s="9" t="n"/>
      <c r="B655" s="19" t="n"/>
      <c r="C655" s="1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</row>
    <row r="656" ht="12" customHeight="1">
      <c r="A656" s="9" t="n"/>
      <c r="B656" s="19" t="n"/>
      <c r="C656" s="1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</row>
    <row r="657" ht="12" customHeight="1">
      <c r="A657" s="9" t="n"/>
      <c r="B657" s="19" t="n"/>
      <c r="C657" s="1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</row>
    <row r="658" ht="12" customHeight="1">
      <c r="A658" s="9" t="n"/>
      <c r="B658" s="19" t="n"/>
      <c r="C658" s="1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</row>
    <row r="659" ht="12" customHeight="1">
      <c r="A659" s="9" t="n"/>
      <c r="B659" s="19" t="n"/>
      <c r="C659" s="1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</row>
    <row r="660" ht="12" customHeight="1">
      <c r="A660" s="9" t="n"/>
      <c r="B660" s="19" t="n"/>
      <c r="C660" s="1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</row>
    <row r="661" ht="12" customHeight="1">
      <c r="A661" s="9" t="n"/>
      <c r="B661" s="19" t="n"/>
      <c r="C661" s="1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</row>
    <row r="662" ht="12" customHeight="1">
      <c r="A662" s="9" t="n"/>
      <c r="B662" s="19" t="n"/>
      <c r="C662" s="1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</row>
    <row r="663" ht="12" customHeight="1">
      <c r="A663" s="9" t="n"/>
      <c r="B663" s="19" t="n"/>
      <c r="C663" s="1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</row>
    <row r="664" ht="12" customHeight="1">
      <c r="A664" s="9" t="n"/>
      <c r="B664" s="19" t="n"/>
      <c r="C664" s="1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</row>
    <row r="665" ht="12" customHeight="1">
      <c r="A665" s="9" t="n"/>
      <c r="B665" s="19" t="n"/>
      <c r="C665" s="1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</row>
    <row r="666" ht="12" customHeight="1">
      <c r="A666" s="9" t="n"/>
      <c r="B666" s="19" t="n"/>
      <c r="C666" s="1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</row>
    <row r="667" ht="12" customHeight="1">
      <c r="A667" s="9" t="n"/>
      <c r="B667" s="19" t="n"/>
      <c r="C667" s="1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</row>
    <row r="668" ht="12" customHeight="1">
      <c r="A668" s="9" t="n"/>
      <c r="B668" s="19" t="n"/>
      <c r="C668" s="1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</row>
    <row r="669" ht="12" customHeight="1">
      <c r="A669" s="9" t="n"/>
      <c r="B669" s="19" t="n"/>
      <c r="C669" s="1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</row>
    <row r="670" ht="12" customHeight="1">
      <c r="A670" s="9" t="n"/>
      <c r="B670" s="19" t="n"/>
      <c r="C670" s="1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</row>
    <row r="671" ht="12" customHeight="1">
      <c r="A671" s="9" t="n"/>
      <c r="B671" s="19" t="n"/>
      <c r="C671" s="1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</row>
    <row r="672" ht="12" customHeight="1">
      <c r="A672" s="9" t="n"/>
      <c r="B672" s="19" t="n"/>
      <c r="C672" s="1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</row>
    <row r="673" ht="12" customHeight="1">
      <c r="A673" s="9" t="n"/>
      <c r="B673" s="19" t="n"/>
      <c r="C673" s="1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</row>
    <row r="674" ht="12" customHeight="1">
      <c r="A674" s="9" t="n"/>
      <c r="B674" s="19" t="n"/>
      <c r="C674" s="1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</row>
    <row r="675" ht="12" customHeight="1">
      <c r="A675" s="9" t="n"/>
      <c r="B675" s="19" t="n"/>
      <c r="C675" s="1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</row>
    <row r="676" ht="12" customHeight="1">
      <c r="A676" s="9" t="n"/>
      <c r="B676" s="19" t="n"/>
      <c r="C676" s="1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</row>
    <row r="677" ht="12" customHeight="1">
      <c r="A677" s="9" t="n"/>
      <c r="B677" s="19" t="n"/>
      <c r="C677" s="1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</row>
    <row r="678" ht="12" customHeight="1">
      <c r="A678" s="9" t="n"/>
      <c r="B678" s="19" t="n"/>
      <c r="C678" s="1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</row>
    <row r="679" ht="12" customHeight="1">
      <c r="A679" s="9" t="n"/>
      <c r="B679" s="19" t="n"/>
      <c r="C679" s="1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</row>
    <row r="680" ht="12" customHeight="1">
      <c r="A680" s="9" t="n"/>
      <c r="B680" s="19" t="n"/>
      <c r="C680" s="1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</row>
    <row r="681" ht="12" customHeight="1">
      <c r="A681" s="9" t="n"/>
      <c r="B681" s="19" t="n"/>
      <c r="C681" s="1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</row>
    <row r="682" ht="12" customHeight="1">
      <c r="A682" s="9" t="n"/>
      <c r="B682" s="19" t="n"/>
      <c r="C682" s="1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</row>
    <row r="683" ht="12" customHeight="1">
      <c r="A683" s="9" t="n"/>
      <c r="B683" s="19" t="n"/>
      <c r="C683" s="1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</row>
    <row r="684" ht="12" customHeight="1">
      <c r="A684" s="9" t="n"/>
      <c r="B684" s="19" t="n"/>
      <c r="C684" s="1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</row>
    <row r="685" ht="12" customHeight="1">
      <c r="A685" s="9" t="n"/>
      <c r="B685" s="19" t="n"/>
      <c r="C685" s="1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</row>
    <row r="686" ht="12" customHeight="1">
      <c r="A686" s="9" t="n"/>
      <c r="B686" s="19" t="n"/>
      <c r="C686" s="1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</row>
    <row r="687" ht="12" customHeight="1">
      <c r="A687" s="9" t="n"/>
      <c r="B687" s="19" t="n"/>
      <c r="C687" s="1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</row>
    <row r="688" ht="12" customHeight="1">
      <c r="A688" s="9" t="n"/>
      <c r="B688" s="19" t="n"/>
      <c r="C688" s="1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</row>
    <row r="689" ht="12" customHeight="1">
      <c r="A689" s="9" t="n"/>
      <c r="B689" s="19" t="n"/>
      <c r="C689" s="1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</row>
    <row r="690" ht="12" customHeight="1">
      <c r="A690" s="9" t="n"/>
      <c r="B690" s="19" t="n"/>
      <c r="C690" s="1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</row>
    <row r="691" ht="12" customHeight="1">
      <c r="A691" s="9" t="n"/>
      <c r="B691" s="19" t="n"/>
      <c r="C691" s="1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</row>
    <row r="692" ht="12" customHeight="1">
      <c r="A692" s="9" t="n"/>
      <c r="B692" s="19" t="n"/>
      <c r="C692" s="1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</row>
    <row r="693" ht="12" customHeight="1">
      <c r="A693" s="9" t="n"/>
      <c r="B693" s="19" t="n"/>
      <c r="C693" s="1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</row>
    <row r="694" ht="12" customHeight="1">
      <c r="A694" s="9" t="n"/>
      <c r="B694" s="19" t="n"/>
      <c r="C694" s="1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</row>
    <row r="695" ht="12" customHeight="1">
      <c r="A695" s="9" t="n"/>
      <c r="B695" s="19" t="n"/>
      <c r="C695" s="1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</row>
    <row r="696" ht="12" customHeight="1">
      <c r="A696" s="9" t="n"/>
      <c r="B696" s="19" t="n"/>
      <c r="C696" s="1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</row>
    <row r="697" ht="12" customHeight="1">
      <c r="A697" s="9" t="n"/>
      <c r="B697" s="19" t="n"/>
      <c r="C697" s="1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</row>
    <row r="698" ht="12" customHeight="1">
      <c r="A698" s="9" t="n"/>
      <c r="B698" s="19" t="n"/>
      <c r="C698" s="1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</row>
    <row r="699" ht="12" customHeight="1">
      <c r="A699" s="9" t="n"/>
      <c r="B699" s="19" t="n"/>
      <c r="C699" s="1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</row>
    <row r="700" ht="12" customHeight="1">
      <c r="A700" s="9" t="n"/>
      <c r="B700" s="19" t="n"/>
      <c r="C700" s="1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</row>
    <row r="701" ht="12" customHeight="1">
      <c r="A701" s="9" t="n"/>
      <c r="B701" s="19" t="n"/>
      <c r="C701" s="1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</row>
    <row r="702" ht="12" customHeight="1">
      <c r="A702" s="9" t="n"/>
      <c r="B702" s="19" t="n"/>
      <c r="C702" s="1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</row>
    <row r="703" ht="12" customHeight="1">
      <c r="A703" s="9" t="n"/>
      <c r="B703" s="19" t="n"/>
      <c r="C703" s="1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</row>
    <row r="704" ht="12" customHeight="1">
      <c r="A704" s="9" t="n"/>
      <c r="B704" s="19" t="n"/>
      <c r="C704" s="1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</row>
    <row r="705" ht="12" customHeight="1">
      <c r="A705" s="9" t="n"/>
      <c r="B705" s="19" t="n"/>
      <c r="C705" s="1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</row>
    <row r="706" ht="12" customHeight="1">
      <c r="A706" s="9" t="n"/>
      <c r="B706" s="19" t="n"/>
      <c r="C706" s="1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</row>
    <row r="707" ht="12" customHeight="1">
      <c r="A707" s="9" t="n"/>
      <c r="B707" s="19" t="n"/>
      <c r="C707" s="1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</row>
    <row r="708" ht="12" customHeight="1">
      <c r="A708" s="9" t="n"/>
      <c r="B708" s="19" t="n"/>
      <c r="C708" s="1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</row>
    <row r="709" ht="12" customHeight="1">
      <c r="A709" s="9" t="n"/>
      <c r="B709" s="19" t="n"/>
      <c r="C709" s="1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</row>
    <row r="710" ht="12" customHeight="1">
      <c r="A710" s="9" t="n"/>
      <c r="B710" s="19" t="n"/>
      <c r="C710" s="1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</row>
    <row r="711" ht="12" customHeight="1">
      <c r="A711" s="9" t="n"/>
      <c r="B711" s="19" t="n"/>
      <c r="C711" s="1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</row>
    <row r="712" ht="12" customHeight="1">
      <c r="A712" s="9" t="n"/>
      <c r="B712" s="19" t="n"/>
      <c r="C712" s="1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</row>
    <row r="713" ht="12" customHeight="1">
      <c r="A713" s="9" t="n"/>
      <c r="B713" s="19" t="n"/>
      <c r="C713" s="1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</row>
    <row r="714" ht="12" customHeight="1">
      <c r="A714" s="9" t="n"/>
      <c r="B714" s="19" t="n"/>
      <c r="C714" s="1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</row>
    <row r="715" ht="12" customHeight="1">
      <c r="A715" s="9" t="n"/>
      <c r="B715" s="19" t="n"/>
      <c r="C715" s="1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</row>
    <row r="716" ht="12" customHeight="1">
      <c r="A716" s="9" t="n"/>
      <c r="B716" s="19" t="n"/>
      <c r="C716" s="1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</row>
    <row r="717" ht="12" customHeight="1">
      <c r="A717" s="9" t="n"/>
      <c r="B717" s="19" t="n"/>
      <c r="C717" s="1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</row>
    <row r="718" ht="12" customHeight="1">
      <c r="A718" s="9" t="n"/>
      <c r="B718" s="19" t="n"/>
      <c r="C718" s="1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</row>
    <row r="719" ht="12" customHeight="1">
      <c r="A719" s="9" t="n"/>
      <c r="B719" s="19" t="n"/>
      <c r="C719" s="1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</row>
    <row r="720" ht="12" customHeight="1">
      <c r="A720" s="9" t="n"/>
      <c r="B720" s="19" t="n"/>
      <c r="C720" s="1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</row>
    <row r="721" ht="12" customHeight="1">
      <c r="A721" s="9" t="n"/>
      <c r="B721" s="19" t="n"/>
      <c r="C721" s="1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</row>
    <row r="722" ht="12" customHeight="1">
      <c r="A722" s="9" t="n"/>
      <c r="B722" s="19" t="n"/>
      <c r="C722" s="1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</row>
    <row r="723" ht="12" customHeight="1">
      <c r="A723" s="9" t="n"/>
      <c r="B723" s="19" t="n"/>
      <c r="C723" s="1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</row>
    <row r="724" ht="12" customHeight="1">
      <c r="A724" s="9" t="n"/>
      <c r="B724" s="19" t="n"/>
      <c r="C724" s="1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</row>
    <row r="725" ht="12" customHeight="1">
      <c r="A725" s="9" t="n"/>
      <c r="B725" s="19" t="n"/>
      <c r="C725" s="1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</row>
    <row r="726" ht="12" customHeight="1">
      <c r="A726" s="9" t="n"/>
      <c r="B726" s="19" t="n"/>
      <c r="C726" s="1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</row>
    <row r="727" ht="12" customHeight="1">
      <c r="A727" s="9" t="n"/>
      <c r="B727" s="19" t="n"/>
      <c r="C727" s="1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</row>
    <row r="728" ht="12" customHeight="1">
      <c r="A728" s="9" t="n"/>
      <c r="B728" s="19" t="n"/>
      <c r="C728" s="1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</row>
    <row r="729" ht="12" customHeight="1">
      <c r="A729" s="9" t="n"/>
      <c r="B729" s="19" t="n"/>
      <c r="C729" s="1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</row>
    <row r="730" ht="12" customHeight="1">
      <c r="A730" s="9" t="n"/>
      <c r="B730" s="19" t="n"/>
      <c r="C730" s="1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</row>
    <row r="731" ht="12" customHeight="1">
      <c r="A731" s="9" t="n"/>
      <c r="B731" s="19" t="n"/>
      <c r="C731" s="1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</row>
    <row r="732" ht="12" customHeight="1">
      <c r="A732" s="9" t="n"/>
      <c r="B732" s="19" t="n"/>
      <c r="C732" s="1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</row>
    <row r="733" ht="12" customHeight="1">
      <c r="A733" s="9" t="n"/>
      <c r="B733" s="19" t="n"/>
      <c r="C733" s="1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</row>
    <row r="734" ht="12" customHeight="1">
      <c r="A734" s="9" t="n"/>
      <c r="B734" s="19" t="n"/>
      <c r="C734" s="1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</row>
    <row r="735" ht="12" customHeight="1">
      <c r="A735" s="9" t="n"/>
      <c r="B735" s="19" t="n"/>
      <c r="C735" s="1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</row>
    <row r="736" ht="12" customHeight="1">
      <c r="A736" s="9" t="n"/>
      <c r="B736" s="19" t="n"/>
      <c r="C736" s="1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</row>
    <row r="737" ht="12" customHeight="1">
      <c r="A737" s="9" t="n"/>
      <c r="B737" s="19" t="n"/>
      <c r="C737" s="1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</row>
    <row r="738" ht="12" customHeight="1">
      <c r="A738" s="9" t="n"/>
      <c r="B738" s="19" t="n"/>
      <c r="C738" s="1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</row>
    <row r="739" ht="12" customHeight="1">
      <c r="A739" s="9" t="n"/>
      <c r="B739" s="19" t="n"/>
      <c r="C739" s="1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</row>
    <row r="740" ht="12" customHeight="1">
      <c r="A740" s="9" t="n"/>
      <c r="B740" s="19" t="n"/>
      <c r="C740" s="1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</row>
    <row r="741" ht="12" customHeight="1">
      <c r="A741" s="9" t="n"/>
      <c r="B741" s="19" t="n"/>
      <c r="C741" s="1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</row>
    <row r="742" ht="12" customHeight="1">
      <c r="A742" s="9" t="n"/>
      <c r="B742" s="19" t="n"/>
      <c r="C742" s="1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</row>
    <row r="743" ht="12" customHeight="1">
      <c r="A743" s="9" t="n"/>
      <c r="B743" s="19" t="n"/>
      <c r="C743" s="1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</row>
    <row r="744" ht="12" customHeight="1">
      <c r="A744" s="9" t="n"/>
      <c r="B744" s="19" t="n"/>
      <c r="C744" s="1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</row>
    <row r="745" ht="12" customHeight="1">
      <c r="A745" s="9" t="n"/>
      <c r="B745" s="19" t="n"/>
      <c r="C745" s="1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</row>
    <row r="746" ht="12" customHeight="1">
      <c r="A746" s="9" t="n"/>
      <c r="B746" s="19" t="n"/>
      <c r="C746" s="1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</row>
    <row r="747" ht="12" customHeight="1">
      <c r="A747" s="9" t="n"/>
      <c r="B747" s="19" t="n"/>
      <c r="C747" s="1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</row>
    <row r="748" ht="12" customHeight="1">
      <c r="A748" s="9" t="n"/>
      <c r="B748" s="19" t="n"/>
      <c r="C748" s="1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</row>
    <row r="749" ht="12" customHeight="1">
      <c r="A749" s="9" t="n"/>
      <c r="B749" s="19" t="n"/>
      <c r="C749" s="1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</row>
    <row r="750" ht="12" customHeight="1">
      <c r="A750" s="9" t="n"/>
      <c r="B750" s="19" t="n"/>
      <c r="C750" s="1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</row>
    <row r="751" ht="12" customHeight="1">
      <c r="A751" s="9" t="n"/>
      <c r="B751" s="19" t="n"/>
      <c r="C751" s="1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</row>
    <row r="752" ht="12" customHeight="1">
      <c r="A752" s="9" t="n"/>
      <c r="B752" s="19" t="n"/>
      <c r="C752" s="1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</row>
    <row r="753" ht="12" customHeight="1">
      <c r="A753" s="9" t="n"/>
      <c r="B753" s="19" t="n"/>
      <c r="C753" s="1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</row>
    <row r="754" ht="12" customHeight="1">
      <c r="A754" s="9" t="n"/>
      <c r="B754" s="19" t="n"/>
      <c r="C754" s="1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</row>
    <row r="755" ht="12" customHeight="1">
      <c r="A755" s="9" t="n"/>
      <c r="B755" s="19" t="n"/>
      <c r="C755" s="1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</row>
    <row r="756" ht="12" customHeight="1">
      <c r="A756" s="9" t="n"/>
      <c r="B756" s="19" t="n"/>
      <c r="C756" s="1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</row>
    <row r="757" ht="12" customHeight="1">
      <c r="A757" s="9" t="n"/>
      <c r="B757" s="19" t="n"/>
      <c r="C757" s="1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</row>
    <row r="758" ht="12" customHeight="1">
      <c r="A758" s="9" t="n"/>
      <c r="B758" s="19" t="n"/>
      <c r="C758" s="1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</row>
    <row r="759" ht="12" customHeight="1">
      <c r="A759" s="9" t="n"/>
      <c r="B759" s="19" t="n"/>
      <c r="C759" s="1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</row>
    <row r="760" ht="12" customHeight="1">
      <c r="A760" s="9" t="n"/>
      <c r="B760" s="19" t="n"/>
      <c r="C760" s="1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</row>
    <row r="761" ht="12" customHeight="1">
      <c r="A761" s="9" t="n"/>
      <c r="B761" s="19" t="n"/>
      <c r="C761" s="1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</row>
    <row r="762" ht="12" customHeight="1">
      <c r="A762" s="9" t="n"/>
      <c r="B762" s="19" t="n"/>
      <c r="C762" s="1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</row>
    <row r="763" ht="12" customHeight="1">
      <c r="A763" s="9" t="n"/>
      <c r="B763" s="19" t="n"/>
      <c r="C763" s="1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</row>
    <row r="764" ht="12" customHeight="1">
      <c r="A764" s="9" t="n"/>
      <c r="B764" s="19" t="n"/>
      <c r="C764" s="1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</row>
    <row r="765" ht="12" customHeight="1">
      <c r="A765" s="9" t="n"/>
      <c r="B765" s="19" t="n"/>
      <c r="C765" s="1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</row>
    <row r="766" ht="12" customHeight="1">
      <c r="A766" s="9" t="n"/>
      <c r="B766" s="19" t="n"/>
      <c r="C766" s="1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</row>
    <row r="767" ht="12" customHeight="1">
      <c r="A767" s="9" t="n"/>
      <c r="B767" s="19" t="n"/>
      <c r="C767" s="1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</row>
    <row r="768" ht="12" customHeight="1">
      <c r="A768" s="9" t="n"/>
      <c r="B768" s="19" t="n"/>
      <c r="C768" s="1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</row>
    <row r="769" ht="12" customHeight="1">
      <c r="A769" s="9" t="n"/>
      <c r="B769" s="19" t="n"/>
      <c r="C769" s="1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</row>
    <row r="770" ht="12" customHeight="1">
      <c r="A770" s="9" t="n"/>
      <c r="B770" s="19" t="n"/>
      <c r="C770" s="1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</row>
    <row r="771" ht="12" customHeight="1">
      <c r="A771" s="9" t="n"/>
      <c r="B771" s="19" t="n"/>
      <c r="C771" s="1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</row>
    <row r="772" ht="12" customHeight="1">
      <c r="A772" s="9" t="n"/>
      <c r="B772" s="19" t="n"/>
      <c r="C772" s="1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</row>
    <row r="773" ht="12" customHeight="1">
      <c r="A773" s="9" t="n"/>
      <c r="B773" s="19" t="n"/>
      <c r="C773" s="1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</row>
    <row r="774" ht="12" customHeight="1">
      <c r="A774" s="9" t="n"/>
      <c r="B774" s="19" t="n"/>
      <c r="C774" s="1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</row>
    <row r="775" ht="12" customHeight="1">
      <c r="A775" s="9" t="n"/>
      <c r="B775" s="19" t="n"/>
      <c r="C775" s="1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</row>
    <row r="776" ht="12" customHeight="1">
      <c r="A776" s="9" t="n"/>
      <c r="B776" s="19" t="n"/>
      <c r="C776" s="1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</row>
    <row r="777" ht="12" customHeight="1">
      <c r="A777" s="9" t="n"/>
      <c r="B777" s="19" t="n"/>
      <c r="C777" s="1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</row>
    <row r="778" ht="12" customHeight="1">
      <c r="A778" s="9" t="n"/>
      <c r="B778" s="19" t="n"/>
      <c r="C778" s="1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</row>
    <row r="779" ht="12" customHeight="1">
      <c r="A779" s="9" t="n"/>
      <c r="B779" s="19" t="n"/>
      <c r="C779" s="1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</row>
    <row r="780" ht="12" customHeight="1">
      <c r="A780" s="9" t="n"/>
      <c r="B780" s="19" t="n"/>
      <c r="C780" s="1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</row>
    <row r="781" ht="12" customHeight="1">
      <c r="A781" s="9" t="n"/>
      <c r="B781" s="19" t="n"/>
      <c r="C781" s="1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</row>
    <row r="782" ht="12" customHeight="1">
      <c r="A782" s="9" t="n"/>
      <c r="B782" s="19" t="n"/>
      <c r="C782" s="1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</row>
    <row r="783" ht="12" customHeight="1">
      <c r="A783" s="9" t="n"/>
      <c r="B783" s="19" t="n"/>
      <c r="C783" s="1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</row>
    <row r="784" ht="12" customHeight="1">
      <c r="A784" s="9" t="n"/>
      <c r="B784" s="19" t="n"/>
      <c r="C784" s="1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</row>
    <row r="785" ht="12" customHeight="1">
      <c r="A785" s="9" t="n"/>
      <c r="B785" s="19" t="n"/>
      <c r="C785" s="1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</row>
    <row r="786" ht="12" customHeight="1">
      <c r="A786" s="9" t="n"/>
      <c r="B786" s="19" t="n"/>
      <c r="C786" s="1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</row>
    <row r="787" ht="12" customHeight="1">
      <c r="A787" s="9" t="n"/>
      <c r="B787" s="19" t="n"/>
      <c r="C787" s="1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</row>
    <row r="788" ht="12" customHeight="1">
      <c r="A788" s="9" t="n"/>
      <c r="B788" s="19" t="n"/>
      <c r="C788" s="1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</row>
    <row r="789" ht="12" customHeight="1">
      <c r="A789" s="9" t="n"/>
      <c r="B789" s="19" t="n"/>
      <c r="C789" s="1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</row>
    <row r="790" ht="12" customHeight="1">
      <c r="A790" s="9" t="n"/>
      <c r="B790" s="19" t="n"/>
      <c r="C790" s="1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</row>
    <row r="791" ht="12" customHeight="1">
      <c r="A791" s="9" t="n"/>
      <c r="B791" s="19" t="n"/>
      <c r="C791" s="1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</row>
    <row r="792" ht="12" customHeight="1">
      <c r="A792" s="9" t="n"/>
      <c r="B792" s="19" t="n"/>
      <c r="C792" s="1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</row>
    <row r="793" ht="12" customHeight="1">
      <c r="A793" s="9" t="n"/>
      <c r="B793" s="19" t="n"/>
      <c r="C793" s="1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</row>
    <row r="794" ht="12" customHeight="1">
      <c r="A794" s="9" t="n"/>
      <c r="B794" s="19" t="n"/>
      <c r="C794" s="1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</row>
    <row r="795" ht="12" customHeight="1">
      <c r="A795" s="9" t="n"/>
      <c r="B795" s="19" t="n"/>
      <c r="C795" s="1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</row>
    <row r="796" ht="12" customHeight="1">
      <c r="A796" s="9" t="n"/>
      <c r="B796" s="19" t="n"/>
      <c r="C796" s="1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</row>
    <row r="797" ht="12" customHeight="1">
      <c r="A797" s="9" t="n"/>
      <c r="B797" s="19" t="n"/>
      <c r="C797" s="1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</row>
    <row r="798" ht="12" customHeight="1">
      <c r="A798" s="9" t="n"/>
      <c r="B798" s="19" t="n"/>
      <c r="C798" s="1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</row>
    <row r="799" ht="12" customHeight="1">
      <c r="A799" s="9" t="n"/>
      <c r="B799" s="19" t="n"/>
      <c r="C799" s="1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</row>
    <row r="800" ht="12" customHeight="1">
      <c r="A800" s="9" t="n"/>
      <c r="B800" s="19" t="n"/>
      <c r="C800" s="1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</row>
    <row r="801" ht="12" customHeight="1">
      <c r="A801" s="9" t="n"/>
      <c r="B801" s="19" t="n"/>
      <c r="C801" s="1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</row>
    <row r="802" ht="12" customHeight="1">
      <c r="A802" s="9" t="n"/>
      <c r="B802" s="19" t="n"/>
      <c r="C802" s="1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</row>
    <row r="803" ht="12" customHeight="1">
      <c r="A803" s="9" t="n"/>
      <c r="B803" s="19" t="n"/>
      <c r="C803" s="1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</row>
    <row r="804" ht="12" customHeight="1">
      <c r="A804" s="9" t="n"/>
      <c r="B804" s="19" t="n"/>
      <c r="C804" s="1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</row>
    <row r="805" ht="12" customHeight="1">
      <c r="A805" s="9" t="n"/>
      <c r="B805" s="19" t="n"/>
      <c r="C805" s="1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</row>
    <row r="806" ht="12" customHeight="1">
      <c r="A806" s="9" t="n"/>
      <c r="B806" s="19" t="n"/>
      <c r="C806" s="1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</row>
    <row r="807" ht="12" customHeight="1">
      <c r="A807" s="9" t="n"/>
      <c r="B807" s="19" t="n"/>
      <c r="C807" s="1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</row>
    <row r="808" ht="12" customHeight="1">
      <c r="A808" s="9" t="n"/>
      <c r="B808" s="19" t="n"/>
      <c r="C808" s="1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</row>
    <row r="809" ht="12" customHeight="1">
      <c r="A809" s="9" t="n"/>
      <c r="B809" s="19" t="n"/>
      <c r="C809" s="1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</row>
    <row r="810" ht="12" customHeight="1">
      <c r="A810" s="9" t="n"/>
      <c r="B810" s="19" t="n"/>
      <c r="C810" s="1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</row>
    <row r="811" ht="12" customHeight="1">
      <c r="A811" s="9" t="n"/>
      <c r="B811" s="19" t="n"/>
      <c r="C811" s="1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</row>
    <row r="812" ht="12" customHeight="1">
      <c r="A812" s="9" t="n"/>
      <c r="B812" s="19" t="n"/>
      <c r="C812" s="1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</row>
    <row r="813" ht="12" customHeight="1">
      <c r="A813" s="9" t="n"/>
      <c r="B813" s="19" t="n"/>
      <c r="C813" s="1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</row>
    <row r="814" ht="12" customHeight="1">
      <c r="A814" s="9" t="n"/>
      <c r="B814" s="19" t="n"/>
      <c r="C814" s="1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</row>
    <row r="815" ht="12" customHeight="1">
      <c r="A815" s="9" t="n"/>
      <c r="B815" s="19" t="n"/>
      <c r="C815" s="1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</row>
    <row r="816" ht="12" customHeight="1">
      <c r="A816" s="9" t="n"/>
      <c r="B816" s="19" t="n"/>
      <c r="C816" s="1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</row>
    <row r="817" ht="12" customHeight="1">
      <c r="A817" s="9" t="n"/>
      <c r="B817" s="19" t="n"/>
      <c r="C817" s="1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</row>
    <row r="818" ht="12" customHeight="1">
      <c r="A818" s="9" t="n"/>
      <c r="B818" s="19" t="n"/>
      <c r="C818" s="1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</row>
    <row r="819" ht="12" customHeight="1">
      <c r="A819" s="9" t="n"/>
      <c r="B819" s="19" t="n"/>
      <c r="C819" s="1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</row>
    <row r="820" ht="12" customHeight="1">
      <c r="A820" s="9" t="n"/>
      <c r="B820" s="19" t="n"/>
      <c r="C820" s="1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</row>
    <row r="821" ht="12" customHeight="1">
      <c r="A821" s="9" t="n"/>
      <c r="B821" s="19" t="n"/>
      <c r="C821" s="1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</row>
    <row r="822" ht="12" customHeight="1">
      <c r="A822" s="9" t="n"/>
      <c r="B822" s="19" t="n"/>
      <c r="C822" s="1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</row>
    <row r="823" ht="12" customHeight="1">
      <c r="A823" s="9" t="n"/>
      <c r="B823" s="19" t="n"/>
      <c r="C823" s="1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</row>
    <row r="824" ht="12" customHeight="1">
      <c r="A824" s="9" t="n"/>
      <c r="B824" s="19" t="n"/>
      <c r="C824" s="1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</row>
    <row r="825" ht="12" customHeight="1">
      <c r="A825" s="9" t="n"/>
      <c r="B825" s="19" t="n"/>
      <c r="C825" s="1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</row>
    <row r="826" ht="12" customHeight="1">
      <c r="A826" s="9" t="n"/>
      <c r="B826" s="19" t="n"/>
      <c r="C826" s="1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</row>
    <row r="827" ht="12" customHeight="1">
      <c r="A827" s="9" t="n"/>
      <c r="B827" s="19" t="n"/>
      <c r="C827" s="1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</row>
    <row r="828" ht="12" customHeight="1">
      <c r="A828" s="9" t="n"/>
      <c r="B828" s="19" t="n"/>
      <c r="C828" s="1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</row>
    <row r="829" ht="12" customHeight="1">
      <c r="A829" s="9" t="n"/>
      <c r="B829" s="19" t="n"/>
      <c r="C829" s="1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</row>
    <row r="830" ht="12" customHeight="1">
      <c r="A830" s="9" t="n"/>
      <c r="B830" s="19" t="n"/>
      <c r="C830" s="1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</row>
    <row r="831" ht="12" customHeight="1">
      <c r="A831" s="9" t="n"/>
      <c r="B831" s="19" t="n"/>
      <c r="C831" s="1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</row>
    <row r="832" ht="12" customHeight="1">
      <c r="A832" s="9" t="n"/>
      <c r="B832" s="19" t="n"/>
      <c r="C832" s="1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</row>
    <row r="833" ht="12" customHeight="1">
      <c r="A833" s="9" t="n"/>
      <c r="B833" s="19" t="n"/>
      <c r="C833" s="1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</row>
    <row r="834" ht="12" customHeight="1">
      <c r="A834" s="9" t="n"/>
      <c r="B834" s="19" t="n"/>
      <c r="C834" s="1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</row>
    <row r="835" ht="12" customHeight="1">
      <c r="A835" s="9" t="n"/>
      <c r="B835" s="19" t="n"/>
      <c r="C835" s="1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</row>
    <row r="836" ht="12" customHeight="1">
      <c r="A836" s="9" t="n"/>
      <c r="B836" s="19" t="n"/>
      <c r="C836" s="1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</row>
    <row r="837" ht="12" customHeight="1">
      <c r="A837" s="9" t="n"/>
      <c r="B837" s="19" t="n"/>
      <c r="C837" s="1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</row>
    <row r="838" ht="12" customHeight="1">
      <c r="A838" s="9" t="n"/>
      <c r="B838" s="19" t="n"/>
      <c r="C838" s="1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</row>
    <row r="839" ht="12" customHeight="1">
      <c r="A839" s="9" t="n"/>
      <c r="B839" s="19" t="n"/>
      <c r="C839" s="1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</row>
    <row r="840" ht="12" customHeight="1">
      <c r="A840" s="9" t="n"/>
      <c r="B840" s="19" t="n"/>
      <c r="C840" s="1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</row>
    <row r="841" ht="12" customHeight="1">
      <c r="A841" s="9" t="n"/>
      <c r="B841" s="19" t="n"/>
      <c r="C841" s="1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</row>
    <row r="842" ht="12" customHeight="1">
      <c r="A842" s="9" t="n"/>
      <c r="B842" s="19" t="n"/>
      <c r="C842" s="1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</row>
    <row r="843" ht="12" customHeight="1">
      <c r="A843" s="9" t="n"/>
      <c r="B843" s="19" t="n"/>
      <c r="C843" s="1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</row>
    <row r="844" ht="12" customHeight="1">
      <c r="A844" s="9" t="n"/>
      <c r="B844" s="19" t="n"/>
      <c r="C844" s="1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</row>
    <row r="845" ht="12" customHeight="1">
      <c r="A845" s="9" t="n"/>
      <c r="B845" s="19" t="n"/>
      <c r="C845" s="1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</row>
    <row r="846" ht="12" customHeight="1">
      <c r="A846" s="9" t="n"/>
      <c r="B846" s="19" t="n"/>
      <c r="C846" s="1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</row>
    <row r="847" ht="12" customHeight="1">
      <c r="A847" s="9" t="n"/>
      <c r="B847" s="19" t="n"/>
      <c r="C847" s="1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</row>
    <row r="848" ht="12" customHeight="1">
      <c r="A848" s="9" t="n"/>
      <c r="B848" s="19" t="n"/>
      <c r="C848" s="1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</row>
    <row r="849" ht="12" customHeight="1">
      <c r="A849" s="9" t="n"/>
      <c r="B849" s="19" t="n"/>
      <c r="C849" s="1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</row>
    <row r="850" ht="12" customHeight="1">
      <c r="A850" s="9" t="n"/>
      <c r="B850" s="19" t="n"/>
      <c r="C850" s="1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</row>
    <row r="851" ht="12" customHeight="1">
      <c r="A851" s="9" t="n"/>
      <c r="B851" s="19" t="n"/>
      <c r="C851" s="1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</row>
    <row r="852" ht="12" customHeight="1">
      <c r="A852" s="9" t="n"/>
      <c r="B852" s="19" t="n"/>
      <c r="C852" s="1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</row>
    <row r="853" ht="12" customHeight="1">
      <c r="A853" s="9" t="n"/>
      <c r="B853" s="19" t="n"/>
      <c r="C853" s="1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</row>
    <row r="854" ht="12" customHeight="1">
      <c r="A854" s="9" t="n"/>
      <c r="B854" s="19" t="n"/>
      <c r="C854" s="1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</row>
    <row r="855" ht="12" customHeight="1">
      <c r="A855" s="9" t="n"/>
      <c r="B855" s="19" t="n"/>
      <c r="C855" s="1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</row>
    <row r="856" ht="12" customHeight="1">
      <c r="A856" s="9" t="n"/>
      <c r="B856" s="19" t="n"/>
      <c r="C856" s="1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</row>
    <row r="857" ht="12" customHeight="1">
      <c r="A857" s="9" t="n"/>
      <c r="B857" s="19" t="n"/>
      <c r="C857" s="1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</row>
    <row r="858" ht="12" customHeight="1">
      <c r="A858" s="9" t="n"/>
      <c r="B858" s="19" t="n"/>
      <c r="C858" s="1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</row>
    <row r="859" ht="12" customHeight="1">
      <c r="A859" s="9" t="n"/>
      <c r="B859" s="19" t="n"/>
      <c r="C859" s="1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</row>
    <row r="860" ht="12" customHeight="1">
      <c r="A860" s="9" t="n"/>
      <c r="B860" s="19" t="n"/>
      <c r="C860" s="1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</row>
    <row r="861" ht="12" customHeight="1">
      <c r="A861" s="9" t="n"/>
      <c r="B861" s="19" t="n"/>
      <c r="C861" s="1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</row>
    <row r="862" ht="12" customHeight="1">
      <c r="A862" s="9" t="n"/>
      <c r="B862" s="19" t="n"/>
      <c r="C862" s="1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</row>
    <row r="863" ht="12" customHeight="1">
      <c r="A863" s="9" t="n"/>
      <c r="B863" s="19" t="n"/>
      <c r="C863" s="1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</row>
    <row r="864" ht="12" customHeight="1">
      <c r="A864" s="9" t="n"/>
      <c r="B864" s="19" t="n"/>
      <c r="C864" s="1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</row>
    <row r="865" ht="12" customHeight="1">
      <c r="A865" s="9" t="n"/>
      <c r="B865" s="19" t="n"/>
      <c r="C865" s="1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</row>
    <row r="866" ht="12" customHeight="1">
      <c r="A866" s="9" t="n"/>
      <c r="B866" s="19" t="n"/>
      <c r="C866" s="1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</row>
    <row r="867" ht="12" customHeight="1">
      <c r="A867" s="9" t="n"/>
      <c r="B867" s="19" t="n"/>
      <c r="C867" s="1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</row>
    <row r="868" ht="12" customHeight="1">
      <c r="A868" s="9" t="n"/>
      <c r="B868" s="19" t="n"/>
      <c r="C868" s="1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</row>
    <row r="869" ht="12" customHeight="1">
      <c r="A869" s="9" t="n"/>
      <c r="B869" s="19" t="n"/>
      <c r="C869" s="1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</row>
    <row r="870" ht="12" customHeight="1">
      <c r="A870" s="9" t="n"/>
      <c r="B870" s="19" t="n"/>
      <c r="C870" s="1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</row>
    <row r="871" ht="12" customHeight="1">
      <c r="A871" s="9" t="n"/>
      <c r="B871" s="19" t="n"/>
      <c r="C871" s="1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</row>
    <row r="872" ht="12" customHeight="1">
      <c r="A872" s="9" t="n"/>
      <c r="B872" s="19" t="n"/>
      <c r="C872" s="1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</row>
    <row r="873" ht="12" customHeight="1">
      <c r="A873" s="9" t="n"/>
      <c r="B873" s="19" t="n"/>
      <c r="C873" s="1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</row>
    <row r="874" ht="12" customHeight="1">
      <c r="A874" s="9" t="n"/>
      <c r="B874" s="19" t="n"/>
      <c r="C874" s="1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</row>
    <row r="875" ht="12" customHeight="1">
      <c r="A875" s="9" t="n"/>
      <c r="B875" s="19" t="n"/>
      <c r="C875" s="1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</row>
    <row r="876" ht="12" customHeight="1">
      <c r="A876" s="9" t="n"/>
      <c r="B876" s="19" t="n"/>
      <c r="C876" s="1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</row>
    <row r="877" ht="12" customHeight="1">
      <c r="A877" s="9" t="n"/>
      <c r="B877" s="19" t="n"/>
      <c r="C877" s="1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</row>
    <row r="878" ht="12" customHeight="1">
      <c r="A878" s="9" t="n"/>
      <c r="B878" s="19" t="n"/>
      <c r="C878" s="1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</row>
    <row r="879" ht="12" customHeight="1">
      <c r="A879" s="9" t="n"/>
      <c r="B879" s="19" t="n"/>
      <c r="C879" s="1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</row>
    <row r="880" ht="12" customHeight="1">
      <c r="A880" s="9" t="n"/>
      <c r="B880" s="19" t="n"/>
      <c r="C880" s="1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</row>
    <row r="881" ht="12" customHeight="1">
      <c r="A881" s="9" t="n"/>
      <c r="B881" s="19" t="n"/>
      <c r="C881" s="1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</row>
    <row r="882" ht="12" customHeight="1">
      <c r="A882" s="9" t="n"/>
      <c r="B882" s="19" t="n"/>
      <c r="C882" s="1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</row>
    <row r="883" ht="12" customHeight="1">
      <c r="A883" s="9" t="n"/>
      <c r="B883" s="19" t="n"/>
      <c r="C883" s="1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</row>
    <row r="884" ht="12" customHeight="1">
      <c r="A884" s="9" t="n"/>
      <c r="B884" s="19" t="n"/>
      <c r="C884" s="1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</row>
    <row r="885" ht="12" customHeight="1">
      <c r="A885" s="9" t="n"/>
      <c r="B885" s="19" t="n"/>
      <c r="C885" s="1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</row>
    <row r="886" ht="12" customHeight="1">
      <c r="A886" s="9" t="n"/>
      <c r="B886" s="19" t="n"/>
      <c r="C886" s="1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</row>
    <row r="887" ht="12" customHeight="1">
      <c r="A887" s="9" t="n"/>
      <c r="B887" s="19" t="n"/>
      <c r="C887" s="1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</row>
    <row r="888" ht="12" customHeight="1">
      <c r="A888" s="9" t="n"/>
      <c r="B888" s="19" t="n"/>
      <c r="C888" s="1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</row>
    <row r="889" ht="12" customHeight="1">
      <c r="A889" s="9" t="n"/>
      <c r="B889" s="19" t="n"/>
      <c r="C889" s="1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</row>
    <row r="890" ht="12" customHeight="1">
      <c r="A890" s="9" t="n"/>
      <c r="B890" s="19" t="n"/>
      <c r="C890" s="1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</row>
    <row r="891" ht="12" customHeight="1">
      <c r="A891" s="9" t="n"/>
      <c r="B891" s="19" t="n"/>
      <c r="C891" s="1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</row>
    <row r="892" ht="12" customHeight="1">
      <c r="A892" s="9" t="n"/>
      <c r="B892" s="19" t="n"/>
      <c r="C892" s="1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</row>
    <row r="893" ht="12" customHeight="1">
      <c r="A893" s="9" t="n"/>
      <c r="B893" s="19" t="n"/>
      <c r="C893" s="1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</row>
    <row r="894" ht="12" customHeight="1">
      <c r="A894" s="9" t="n"/>
      <c r="B894" s="19" t="n"/>
      <c r="C894" s="1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</row>
    <row r="895" ht="12" customHeight="1">
      <c r="A895" s="9" t="n"/>
      <c r="B895" s="19" t="n"/>
      <c r="C895" s="1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</row>
    <row r="896" ht="12" customHeight="1">
      <c r="A896" s="9" t="n"/>
      <c r="B896" s="19" t="n"/>
      <c r="C896" s="1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</row>
    <row r="897" ht="12" customHeight="1">
      <c r="A897" s="9" t="n"/>
      <c r="B897" s="19" t="n"/>
      <c r="C897" s="1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</row>
    <row r="898" ht="12" customHeight="1">
      <c r="A898" s="9" t="n"/>
      <c r="B898" s="19" t="n"/>
      <c r="C898" s="1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</row>
    <row r="899" ht="12" customHeight="1">
      <c r="A899" s="9" t="n"/>
      <c r="B899" s="19" t="n"/>
      <c r="C899" s="1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</row>
    <row r="900" ht="12" customHeight="1">
      <c r="A900" s="9" t="n"/>
      <c r="B900" s="19" t="n"/>
      <c r="C900" s="1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</row>
    <row r="901" ht="12" customHeight="1">
      <c r="A901" s="9" t="n"/>
      <c r="B901" s="19" t="n"/>
      <c r="C901" s="1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</row>
    <row r="902" ht="12" customHeight="1">
      <c r="A902" s="9" t="n"/>
      <c r="B902" s="19" t="n"/>
      <c r="C902" s="1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</row>
    <row r="903" ht="12" customHeight="1">
      <c r="A903" s="9" t="n"/>
      <c r="B903" s="19" t="n"/>
      <c r="C903" s="1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</row>
    <row r="904" ht="12" customHeight="1">
      <c r="A904" s="9" t="n"/>
      <c r="B904" s="19" t="n"/>
      <c r="C904" s="1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</row>
    <row r="905" ht="12" customHeight="1">
      <c r="A905" s="9" t="n"/>
      <c r="B905" s="19" t="n"/>
      <c r="C905" s="1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</row>
    <row r="906" ht="12" customHeight="1">
      <c r="A906" s="9" t="n"/>
      <c r="B906" s="19" t="n"/>
      <c r="C906" s="1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</row>
    <row r="907" ht="12" customHeight="1">
      <c r="A907" s="9" t="n"/>
      <c r="B907" s="19" t="n"/>
      <c r="C907" s="1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</row>
    <row r="908" ht="12" customHeight="1">
      <c r="A908" s="9" t="n"/>
      <c r="B908" s="19" t="n"/>
      <c r="C908" s="1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</row>
    <row r="909" ht="12" customHeight="1">
      <c r="A909" s="9" t="n"/>
      <c r="B909" s="19" t="n"/>
      <c r="C909" s="1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</row>
    <row r="910" ht="12" customHeight="1">
      <c r="A910" s="9" t="n"/>
      <c r="B910" s="19" t="n"/>
      <c r="C910" s="1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</row>
    <row r="911" ht="12" customHeight="1">
      <c r="A911" s="9" t="n"/>
      <c r="B911" s="19" t="n"/>
      <c r="C911" s="1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</row>
    <row r="912" ht="12" customHeight="1">
      <c r="A912" s="9" t="n"/>
      <c r="B912" s="19" t="n"/>
      <c r="C912" s="1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</row>
    <row r="913" ht="12" customHeight="1">
      <c r="A913" s="9" t="n"/>
      <c r="B913" s="19" t="n"/>
      <c r="C913" s="1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</row>
    <row r="914" ht="12" customHeight="1">
      <c r="A914" s="9" t="n"/>
      <c r="B914" s="19" t="n"/>
      <c r="C914" s="1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</row>
    <row r="915" ht="12" customHeight="1">
      <c r="A915" s="9" t="n"/>
      <c r="B915" s="19" t="n"/>
      <c r="C915" s="1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</row>
    <row r="916" ht="12" customHeight="1">
      <c r="A916" s="9" t="n"/>
      <c r="B916" s="19" t="n"/>
      <c r="C916" s="1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</row>
    <row r="917" ht="12" customHeight="1">
      <c r="A917" s="9" t="n"/>
      <c r="B917" s="19" t="n"/>
      <c r="C917" s="1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</row>
    <row r="918" ht="12" customHeight="1">
      <c r="A918" s="9" t="n"/>
      <c r="B918" s="19" t="n"/>
      <c r="C918" s="1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</row>
    <row r="919" ht="12" customHeight="1">
      <c r="A919" s="9" t="n"/>
      <c r="B919" s="19" t="n"/>
      <c r="C919" s="1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</row>
    <row r="920" ht="12" customHeight="1">
      <c r="A920" s="9" t="n"/>
      <c r="B920" s="19" t="n"/>
      <c r="C920" s="1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</row>
    <row r="921" ht="12" customHeight="1">
      <c r="A921" s="9" t="n"/>
      <c r="B921" s="19" t="n"/>
      <c r="C921" s="1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</row>
    <row r="922" ht="12" customHeight="1">
      <c r="A922" s="9" t="n"/>
      <c r="B922" s="19" t="n"/>
      <c r="C922" s="1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</row>
    <row r="923" ht="12" customHeight="1">
      <c r="A923" s="9" t="n"/>
      <c r="B923" s="19" t="n"/>
      <c r="C923" s="1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</row>
    <row r="924" ht="12" customHeight="1">
      <c r="A924" s="9" t="n"/>
      <c r="B924" s="19" t="n"/>
      <c r="C924" s="1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</row>
    <row r="925" ht="12" customHeight="1">
      <c r="A925" s="9" t="n"/>
      <c r="B925" s="19" t="n"/>
      <c r="C925" s="1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</row>
    <row r="926" ht="12" customHeight="1">
      <c r="A926" s="9" t="n"/>
      <c r="B926" s="19" t="n"/>
      <c r="C926" s="1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</row>
    <row r="927" ht="12" customHeight="1">
      <c r="A927" s="9" t="n"/>
      <c r="B927" s="19" t="n"/>
      <c r="C927" s="1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</row>
    <row r="928" ht="12" customHeight="1">
      <c r="A928" s="9" t="n"/>
      <c r="B928" s="19" t="n"/>
      <c r="C928" s="1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</row>
    <row r="929" ht="12" customHeight="1">
      <c r="A929" s="9" t="n"/>
      <c r="B929" s="19" t="n"/>
      <c r="C929" s="1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</row>
    <row r="930" ht="12" customHeight="1">
      <c r="A930" s="9" t="n"/>
      <c r="B930" s="19" t="n"/>
      <c r="C930" s="1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</row>
    <row r="931" ht="12" customHeight="1">
      <c r="A931" s="9" t="n"/>
      <c r="B931" s="19" t="n"/>
      <c r="C931" s="1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</row>
    <row r="932" ht="12" customHeight="1">
      <c r="A932" s="9" t="n"/>
      <c r="B932" s="19" t="n"/>
      <c r="C932" s="1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</row>
    <row r="933" ht="12" customHeight="1">
      <c r="A933" s="9" t="n"/>
      <c r="B933" s="19" t="n"/>
      <c r="C933" s="1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</row>
    <row r="934" ht="12" customHeight="1">
      <c r="A934" s="9" t="n"/>
      <c r="B934" s="19" t="n"/>
      <c r="C934" s="1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</row>
    <row r="935" ht="12" customHeight="1">
      <c r="A935" s="9" t="n"/>
      <c r="B935" s="19" t="n"/>
      <c r="C935" s="1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</row>
    <row r="936" ht="12" customHeight="1">
      <c r="A936" s="9" t="n"/>
      <c r="B936" s="19" t="n"/>
      <c r="C936" s="1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</row>
    <row r="937" ht="12" customHeight="1">
      <c r="A937" s="9" t="n"/>
      <c r="B937" s="19" t="n"/>
      <c r="C937" s="1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</row>
    <row r="938" ht="12" customHeight="1">
      <c r="A938" s="9" t="n"/>
      <c r="B938" s="19" t="n"/>
      <c r="C938" s="1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</row>
    <row r="939" ht="12" customHeight="1">
      <c r="A939" s="9" t="n"/>
      <c r="B939" s="19" t="n"/>
      <c r="C939" s="1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</row>
    <row r="940" ht="12" customHeight="1">
      <c r="A940" s="9" t="n"/>
      <c r="B940" s="19" t="n"/>
      <c r="C940" s="1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</row>
    <row r="941" ht="12" customHeight="1">
      <c r="A941" s="9" t="n"/>
      <c r="B941" s="19" t="n"/>
      <c r="C941" s="1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</row>
    <row r="942" ht="12" customHeight="1">
      <c r="A942" s="9" t="n"/>
      <c r="B942" s="19" t="n"/>
      <c r="C942" s="1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</row>
    <row r="943" ht="12" customHeight="1">
      <c r="A943" s="9" t="n"/>
      <c r="B943" s="19" t="n"/>
      <c r="C943" s="1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</row>
    <row r="944" ht="12" customHeight="1">
      <c r="A944" s="9" t="n"/>
      <c r="B944" s="19" t="n"/>
      <c r="C944" s="1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</row>
    <row r="945" ht="12" customHeight="1">
      <c r="A945" s="9" t="n"/>
      <c r="B945" s="19" t="n"/>
      <c r="C945" s="1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</row>
    <row r="946" ht="12" customHeight="1">
      <c r="A946" s="9" t="n"/>
      <c r="B946" s="19" t="n"/>
      <c r="C946" s="1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</row>
    <row r="947" ht="12" customHeight="1">
      <c r="A947" s="9" t="n"/>
      <c r="B947" s="19" t="n"/>
      <c r="C947" s="1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</row>
    <row r="948" ht="12" customHeight="1">
      <c r="A948" s="9" t="n"/>
      <c r="B948" s="19" t="n"/>
      <c r="C948" s="1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</row>
    <row r="949" ht="12" customHeight="1">
      <c r="A949" s="9" t="n"/>
      <c r="B949" s="19" t="n"/>
      <c r="C949" s="1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</row>
    <row r="950" ht="12" customHeight="1">
      <c r="A950" s="9" t="n"/>
      <c r="B950" s="19" t="n"/>
      <c r="C950" s="1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</row>
    <row r="951" ht="12" customHeight="1">
      <c r="A951" s="9" t="n"/>
      <c r="B951" s="19" t="n"/>
      <c r="C951" s="1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</row>
    <row r="952" ht="12" customHeight="1">
      <c r="A952" s="9" t="n"/>
      <c r="B952" s="19" t="n"/>
      <c r="C952" s="1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</row>
    <row r="953" ht="12" customHeight="1">
      <c r="A953" s="9" t="n"/>
      <c r="B953" s="19" t="n"/>
      <c r="C953" s="1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</row>
    <row r="954" ht="12" customHeight="1">
      <c r="A954" s="9" t="n"/>
      <c r="B954" s="19" t="n"/>
      <c r="C954" s="1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</row>
    <row r="955" ht="12" customHeight="1">
      <c r="A955" s="9" t="n"/>
      <c r="B955" s="19" t="n"/>
      <c r="C955" s="1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</row>
    <row r="956" ht="12" customHeight="1">
      <c r="A956" s="9" t="n"/>
      <c r="B956" s="19" t="n"/>
      <c r="C956" s="1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</row>
    <row r="957" ht="12" customHeight="1">
      <c r="A957" s="9" t="n"/>
      <c r="B957" s="19" t="n"/>
      <c r="C957" s="1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</row>
    <row r="958" ht="12" customHeight="1">
      <c r="A958" s="9" t="n"/>
      <c r="B958" s="19" t="n"/>
      <c r="C958" s="1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</row>
    <row r="959" ht="12" customHeight="1">
      <c r="A959" s="9" t="n"/>
      <c r="B959" s="19" t="n"/>
      <c r="C959" s="1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</row>
    <row r="960" ht="12" customHeight="1">
      <c r="A960" s="9" t="n"/>
      <c r="B960" s="19" t="n"/>
      <c r="C960" s="1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</row>
    <row r="961" ht="12" customHeight="1">
      <c r="A961" s="9" t="n"/>
      <c r="B961" s="19" t="n"/>
      <c r="C961" s="1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</row>
    <row r="962" ht="12" customHeight="1">
      <c r="A962" s="9" t="n"/>
      <c r="B962" s="19" t="n"/>
      <c r="C962" s="1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</row>
    <row r="963" ht="12" customHeight="1">
      <c r="A963" s="9" t="n"/>
      <c r="B963" s="19" t="n"/>
      <c r="C963" s="1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</row>
    <row r="964" ht="12" customHeight="1">
      <c r="A964" s="9" t="n"/>
      <c r="B964" s="19" t="n"/>
      <c r="C964" s="1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</row>
    <row r="965" ht="12" customHeight="1">
      <c r="A965" s="9" t="n"/>
      <c r="B965" s="19" t="n"/>
      <c r="C965" s="1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</row>
    <row r="966" ht="12" customHeight="1">
      <c r="A966" s="9" t="n"/>
      <c r="B966" s="19" t="n"/>
      <c r="C966" s="1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</row>
    <row r="967" ht="12" customHeight="1">
      <c r="A967" s="9" t="n"/>
      <c r="B967" s="19" t="n"/>
      <c r="C967" s="1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</row>
    <row r="968" ht="12" customHeight="1">
      <c r="A968" s="9" t="n"/>
      <c r="B968" s="19" t="n"/>
      <c r="C968" s="1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</row>
    <row r="969" ht="12" customHeight="1">
      <c r="A969" s="9" t="n"/>
      <c r="B969" s="19" t="n"/>
      <c r="C969" s="1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</row>
    <row r="970" ht="12" customHeight="1">
      <c r="A970" s="9" t="n"/>
      <c r="B970" s="19" t="n"/>
      <c r="C970" s="1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</row>
    <row r="971" ht="12" customHeight="1">
      <c r="A971" s="9" t="n"/>
      <c r="B971" s="19" t="n"/>
      <c r="C971" s="1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</row>
    <row r="972" ht="12" customHeight="1">
      <c r="A972" s="9" t="n"/>
      <c r="B972" s="19" t="n"/>
      <c r="C972" s="1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</row>
    <row r="973" ht="12" customHeight="1">
      <c r="A973" s="9" t="n"/>
      <c r="B973" s="19" t="n"/>
      <c r="C973" s="1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</row>
    <row r="974" ht="12" customHeight="1">
      <c r="A974" s="9" t="n"/>
      <c r="B974" s="19" t="n"/>
      <c r="C974" s="1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</row>
    <row r="975" ht="12" customHeight="1">
      <c r="A975" s="9" t="n"/>
      <c r="B975" s="19" t="n"/>
      <c r="C975" s="1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</row>
    <row r="976" ht="12" customHeight="1">
      <c r="A976" s="9" t="n"/>
      <c r="B976" s="19" t="n"/>
      <c r="C976" s="1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</row>
    <row r="977" ht="12" customHeight="1">
      <c r="A977" s="9" t="n"/>
      <c r="B977" s="19" t="n"/>
      <c r="C977" s="1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</row>
    <row r="978" ht="12" customHeight="1">
      <c r="A978" s="9" t="n"/>
      <c r="B978" s="19" t="n"/>
      <c r="C978" s="1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</row>
    <row r="979" ht="12" customHeight="1">
      <c r="A979" s="9" t="n"/>
      <c r="B979" s="19" t="n"/>
      <c r="C979" s="1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</row>
    <row r="980" ht="12" customHeight="1">
      <c r="A980" s="9" t="n"/>
      <c r="B980" s="19" t="n"/>
      <c r="C980" s="1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</row>
    <row r="981" ht="12" customHeight="1">
      <c r="A981" s="9" t="n"/>
      <c r="B981" s="19" t="n"/>
      <c r="C981" s="1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</row>
    <row r="982" ht="12" customHeight="1">
      <c r="A982" s="9" t="n"/>
      <c r="B982" s="19" t="n"/>
      <c r="C982" s="1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</row>
    <row r="983" ht="12" customHeight="1">
      <c r="A983" s="9" t="n"/>
      <c r="B983" s="19" t="n"/>
      <c r="C983" s="1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</row>
    <row r="984" ht="12" customHeight="1">
      <c r="A984" s="9" t="n"/>
      <c r="B984" s="19" t="n"/>
      <c r="C984" s="1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</row>
    <row r="985" ht="12" customHeight="1">
      <c r="A985" s="9" t="n"/>
      <c r="B985" s="19" t="n"/>
      <c r="C985" s="1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</row>
    <row r="986" ht="12" customHeight="1">
      <c r="A986" s="9" t="n"/>
      <c r="B986" s="19" t="n"/>
      <c r="C986" s="1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</row>
    <row r="987" ht="12" customHeight="1">
      <c r="A987" s="9" t="n"/>
      <c r="B987" s="19" t="n"/>
      <c r="C987" s="1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</row>
    <row r="988" ht="12" customHeight="1">
      <c r="A988" s="9" t="n"/>
      <c r="B988" s="19" t="n"/>
      <c r="C988" s="1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</row>
    <row r="989" ht="12" customHeight="1">
      <c r="A989" s="9" t="n"/>
      <c r="B989" s="19" t="n"/>
      <c r="C989" s="1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</row>
    <row r="990" ht="12" customHeight="1">
      <c r="A990" s="9" t="n"/>
      <c r="B990" s="19" t="n"/>
      <c r="C990" s="1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</row>
    <row r="991" ht="12" customHeight="1">
      <c r="A991" s="9" t="n"/>
      <c r="B991" s="19" t="n"/>
      <c r="C991" s="1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</row>
    <row r="992" ht="12" customHeight="1">
      <c r="A992" s="9" t="n"/>
      <c r="B992" s="19" t="n"/>
      <c r="C992" s="1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</row>
    <row r="993" ht="12" customHeight="1">
      <c r="A993" s="9" t="n"/>
      <c r="B993" s="19" t="n"/>
      <c r="C993" s="1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</row>
    <row r="994" ht="12" customHeight="1">
      <c r="A994" s="9" t="n"/>
      <c r="B994" s="19" t="n"/>
      <c r="C994" s="1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</row>
    <row r="995" ht="12" customHeight="1">
      <c r="A995" s="9" t="n"/>
      <c r="B995" s="19" t="n"/>
      <c r="C995" s="1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</row>
    <row r="996" ht="12" customHeight="1">
      <c r="A996" s="9" t="n"/>
      <c r="B996" s="19" t="n"/>
      <c r="C996" s="1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</row>
    <row r="997" ht="12" customHeight="1">
      <c r="A997" s="9" t="n"/>
      <c r="B997" s="19" t="n"/>
      <c r="C997" s="1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</row>
    <row r="998" ht="12" customHeight="1">
      <c r="A998" s="9" t="n"/>
      <c r="B998" s="19" t="n"/>
      <c r="C998" s="1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</row>
    <row r="999" ht="12" customHeight="1">
      <c r="A999" s="9" t="n"/>
      <c r="B999" s="19" t="n"/>
      <c r="C999" s="1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</row>
    <row r="1000" ht="12" customHeight="1">
      <c r="A1000" s="9" t="n"/>
      <c r="B1000" s="19" t="n"/>
      <c r="C1000" s="1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</row>
  </sheetData>
  <pageMargins left="0.7" right="0.7" top="0.75" bottom="0.75" header="0" footer="0"/>
  <pageSetup orientation="portrait" scale="47"/>
</worksheet>
</file>

<file path=xl/worksheets/sheet5.xml><?xml version="1.0" encoding="utf-8"?>
<worksheet xmlns="http://schemas.openxmlformats.org/spreadsheetml/2006/main">
  <sheetPr>
    <tabColor rgb="FFC55A11"/>
    <outlinePr summaryBelow="1" summaryRight="1"/>
    <pageSetUpPr/>
  </sheetPr>
  <dimension ref="A1:X100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2578125" defaultRowHeight="15"/>
  <cols>
    <col width="45.42578125" customWidth="1" min="1" max="1"/>
    <col width="12.85546875" customWidth="1" min="2" max="3"/>
    <col width="57.28515625" customWidth="1" style="84" min="4" max="4"/>
    <col width="8.7109375" customWidth="1" min="5" max="24"/>
  </cols>
  <sheetData>
    <row r="1" ht="15.75" customHeight="1">
      <c r="A1" s="18">
        <f>CompanyName</f>
        <v/>
      </c>
      <c r="B1" s="19" t="n"/>
      <c r="C1" s="19" t="n"/>
      <c r="D1" s="80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</row>
    <row r="2">
      <c r="A2" s="20" t="inlineStr">
        <is>
          <t>Report</t>
        </is>
      </c>
      <c r="B2" s="19" t="n"/>
      <c r="C2" s="19" t="n"/>
      <c r="D2" s="81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</row>
    <row r="3">
      <c r="A3" s="9" t="n"/>
      <c r="B3" s="22">
        <f>IF(B$4&lt;=FinancialYearEnd,"Actual","Forecast")</f>
        <v/>
      </c>
      <c r="C3" s="22">
        <f>IF(C$4&lt;=FinancialYearEnd,"Actual","Forecast")</f>
        <v/>
      </c>
      <c r="D3" s="80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</row>
    <row r="4" ht="15.75" customHeight="1" thickBot="1">
      <c r="A4" s="23">
        <f>'P. Input'!D9</f>
        <v/>
      </c>
      <c r="B4" s="24">
        <f>EDATE(FinancialYearEnd,-12*NumPriorAnnualReportsRecorded)</f>
        <v/>
      </c>
      <c r="C4" s="24">
        <f>EDATE(B4,12)</f>
        <v/>
      </c>
      <c r="D4" s="82" t="inlineStr">
        <is>
          <t>Comments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>
      <c r="A5" s="25" t="inlineStr">
        <is>
          <t>Financial Performance</t>
        </is>
      </c>
      <c r="B5" s="50" t="inlineStr">
        <is>
          <t xml:space="preserve"> </t>
        </is>
      </c>
      <c r="C5" s="50" t="n"/>
      <c r="D5" s="8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>
      <c r="A6" s="69" t="inlineStr">
        <is>
          <t>Total Revenue</t>
        </is>
      </c>
      <c r="B6" s="70">
        <f>'I. Profit_Loss'!B5*Units_Multiplier</f>
        <v/>
      </c>
      <c r="C6" s="70">
        <f>'I. Profit_Loss'!C5*Units_Multiplier</f>
        <v/>
      </c>
      <c r="D6" s="86" t="inlineStr">
        <is>
          <t>Revenue grew 71% YoY (£31.5m to £53.8m), driven by strong demand growth for sustainable drinkware products.</t>
        </is>
      </c>
      <c r="E6" s="71" t="n"/>
      <c r="F6" s="9" t="n"/>
      <c r="G6" s="9" t="n"/>
      <c r="H6" s="94" t="n"/>
      <c r="I6" s="94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>
      <c r="A7" s="69" t="inlineStr">
        <is>
          <t>EBITDA</t>
        </is>
      </c>
      <c r="B7" s="70">
        <f>'I. Profit_Loss'!B28*Units_Multiplier</f>
        <v/>
      </c>
      <c r="C7" s="70">
        <f>'I. Profit_Loss'!C28*Units_Multiplier</f>
        <v/>
      </c>
      <c r="D7" s="86" t="inlineStr">
        <is>
          <t>EBITDA increased from £1.5m to £5.5m (+270%), reflecting significant margin expansion despite continued R&amp;D spend.</t>
        </is>
      </c>
      <c r="E7" s="71" t="n"/>
      <c r="F7" s="9" t="n"/>
      <c r="G7" s="9" t="n"/>
      <c r="H7" s="94" t="n"/>
      <c r="I7" s="94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</row>
    <row r="8">
      <c r="A8" s="69" t="inlineStr">
        <is>
          <t>Net Interest Expense</t>
        </is>
      </c>
      <c r="B8" s="70">
        <f>('I. Profit_Loss'!B13+'I. Profit_Loss'!B14)*Units_Multiplier</f>
        <v/>
      </c>
      <c r="C8" s="70">
        <f>('I. Profit_Loss'!C13+'I. Profit_Loss'!C14)*Units_Multiplier</f>
        <v/>
      </c>
      <c r="D8" s="86" t="inlineStr">
        <is>
          <t>Net interest expense fell from £(0.7)m to £(0.3)m, consistent with active repayment of debt during the year.</t>
        </is>
      </c>
      <c r="E8" s="71" t="n"/>
      <c r="F8" s="9" t="n"/>
      <c r="G8" s="9" t="n"/>
      <c r="H8" s="94" t="n"/>
      <c r="I8" s="94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>
      <c r="A9" s="69" t="inlineStr">
        <is>
          <t>Net Profit/(Loss) Before Tax</t>
        </is>
      </c>
      <c r="B9" s="70">
        <f>'I. Profit_Loss'!B16*Units_Multiplier</f>
        <v/>
      </c>
      <c r="C9" s="70">
        <f>'I. Profit_Loss'!C16*Units_Multiplier</f>
        <v/>
      </c>
      <c r="D9" s="86" t="inlineStr">
        <is>
          <t>PBT rose sharply from £1.2m to £6.3m, driven by revenue growth, margin improvement and lower interest costs.</t>
        </is>
      </c>
      <c r="E9" s="72" t="n"/>
      <c r="F9" s="9" t="n"/>
      <c r="G9" s="9" t="n"/>
      <c r="H9" s="94" t="n"/>
      <c r="I9" s="94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>
      <c r="A10" s="69" t="inlineStr">
        <is>
          <t>Net Profit/(Loss) After Tax</t>
        </is>
      </c>
      <c r="B10" s="70">
        <f>'I. Profit_Loss'!B18*Units_Multiplier</f>
        <v/>
      </c>
      <c r="C10" s="70">
        <f>'I. Profit_Loss'!C18*Units_Multiplier</f>
        <v/>
      </c>
      <c r="D10" s="86" t="inlineStr">
        <is>
          <t>PAT increased from £0.9m to £5.6m, underlining a marked improvement in overall profitability.</t>
        </is>
      </c>
      <c r="E10" s="72" t="n"/>
      <c r="F10" s="9" t="n"/>
      <c r="G10" s="9" t="n"/>
      <c r="H10" s="94" t="n"/>
      <c r="I10" s="94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>
      <c r="A11" s="9" t="n"/>
      <c r="B11" s="38" t="n"/>
      <c r="C11" s="38" t="n"/>
      <c r="D11" s="73" t="n"/>
      <c r="E11" s="9" t="n"/>
      <c r="F11" s="9" t="n"/>
      <c r="G11" s="9" t="n"/>
      <c r="H11" s="94" t="n"/>
      <c r="I11" s="94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>
      <c r="A12" s="25" t="inlineStr">
        <is>
          <t>Financial Position</t>
        </is>
      </c>
      <c r="B12" s="50" t="n"/>
      <c r="C12" s="50" t="n"/>
      <c r="D12" s="87" t="n"/>
      <c r="E12" s="3" t="n"/>
      <c r="F12" s="3" t="n"/>
      <c r="G12" s="3" t="n"/>
      <c r="H12" s="94" t="n"/>
      <c r="I12" s="94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69" t="inlineStr">
        <is>
          <t>Total Assets (Including Intangibles)</t>
        </is>
      </c>
      <c r="B13" s="70">
        <f>'I. Balance_Sheet'!B26*Units_Multiplier</f>
        <v/>
      </c>
      <c r="C13" s="70">
        <f>'I. Balance_Sheet'!C26*Units_Multiplier</f>
        <v/>
      </c>
      <c r="D13" s="86" t="inlineStr">
        <is>
          <t>Total assets grew from £52.1m to £62.1m, largely funded by retained earnings and capex into sustainability initiatives.</t>
        </is>
      </c>
      <c r="E13" s="74" t="n"/>
      <c r="F13" s="9" t="n"/>
      <c r="G13" s="9" t="n"/>
      <c r="H13" s="94" t="n"/>
      <c r="I13" s="94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>
      <c r="A14" s="69" t="inlineStr">
        <is>
          <t>Total Tangible Assets (TTA)</t>
        </is>
      </c>
      <c r="B14" s="70">
        <f>('I. Balance_Sheet'!B26-'I. Balance_Sheet'!B13-'I. Balance_Sheet'!B14)*Units_Multiplier</f>
        <v/>
      </c>
      <c r="C14" s="70">
        <f>('I. Balance_Sheet'!C26-'I. Balance_Sheet'!C13-'I. Balance_Sheet'!C14)*Units_Multiplier</f>
        <v/>
      </c>
      <c r="D14" s="86" t="inlineStr">
        <is>
          <t>Tangible assets remain the large majority of the balance sheet, with limited reliance on intangibles/goodwill.</t>
        </is>
      </c>
      <c r="E14" s="74" t="n"/>
      <c r="F14" s="9" t="n"/>
      <c r="G14" s="9" t="n"/>
      <c r="H14" s="94" t="n"/>
      <c r="I14" s="94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>
      <c r="A15" s="69" t="inlineStr">
        <is>
          <t xml:space="preserve">Inventories </t>
        </is>
      </c>
      <c r="B15" s="70">
        <f>'I. Balance_Sheet'!B22*Units_Multiplier</f>
        <v/>
      </c>
      <c r="C15" s="70">
        <f>'I. Balance_Sheet'!C22*Units_Multiplier</f>
        <v/>
      </c>
      <c r="D15" s="86" t="inlineStr">
        <is>
          <t>Inventories rose from £4.1m to £5.8m, broadly tracking revenue growth but slightly ahead of it - worth monitoring for stock build-up.</t>
        </is>
      </c>
      <c r="E15" s="74" t="n"/>
      <c r="F15" s="9" t="n"/>
      <c r="G15" s="9" t="n"/>
      <c r="H15" s="94" t="n"/>
      <c r="I15" s="94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>
      <c r="A16" s="69" t="inlineStr">
        <is>
          <t>Cash and cash equivalents</t>
        </is>
      </c>
      <c r="B16" s="70">
        <f>'I. Balance_Sheet'!B19*Units_Multiplier</f>
        <v/>
      </c>
      <c r="C16" s="70">
        <f>'I. Balance_Sheet'!C19*Units_Multiplier</f>
        <v/>
      </c>
      <c r="D16" s="86" t="inlineStr">
        <is>
          <t>Cash balance reduced from £19.4m to £17.6m as internally generated funds were deployed into capex and debt repayment.</t>
        </is>
      </c>
      <c r="E16" s="74" t="n"/>
      <c r="F16" s="9" t="n"/>
      <c r="G16" s="9" t="n"/>
      <c r="H16" s="94" t="n"/>
      <c r="I16" s="94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>
      <c r="A17" s="69" t="inlineStr">
        <is>
          <t>Total Liabilities</t>
        </is>
      </c>
      <c r="B17" s="70">
        <f>'I. Balance_Sheet'!B46*Units_Multiplier</f>
        <v/>
      </c>
      <c r="C17" s="70">
        <f>'I. Balance_Sheet'!C46*Units_Multiplier</f>
        <v/>
      </c>
      <c r="D17" s="86" t="inlineStr">
        <is>
          <t>Total liabilities increased moderately from £28.4m to £30.5m, driven mainly by higher trade payables rather than new borrowing.</t>
        </is>
      </c>
      <c r="E17" s="74" t="n"/>
      <c r="F17" s="9" t="n"/>
      <c r="G17" s="9" t="n"/>
      <c r="H17" s="94" t="n"/>
      <c r="I17" s="94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>
      <c r="A18" s="69" t="inlineStr">
        <is>
          <t>Net Worth (inc intangibles) (NW)</t>
        </is>
      </c>
      <c r="B18" s="70">
        <f>(B13-B17)</f>
        <v/>
      </c>
      <c r="C18" s="70">
        <f>(C13-C17)</f>
        <v/>
      </c>
      <c r="D18" s="86" t="inlineStr">
        <is>
          <t>Net worth strengthened from £23.7m to £31.6m, reflecting retained profits and equity growth.</t>
        </is>
      </c>
      <c r="E18" s="74" t="n"/>
      <c r="F18" s="9" t="n"/>
      <c r="G18" s="9" t="n"/>
      <c r="H18" s="94" t="n"/>
      <c r="I18" s="94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>
      <c r="A19" s="69" t="inlineStr">
        <is>
          <t>Tangible Net Worth (TNW)</t>
        </is>
      </c>
      <c r="B19" s="70">
        <f>(B14-B17)</f>
        <v/>
      </c>
      <c r="C19" s="70">
        <f>(C14-C17)</f>
        <v/>
      </c>
      <c r="D19" s="86" t="inlineStr">
        <is>
          <t>Tangible net worth improved in line with net worth, supporting overall balance sheet resilience.</t>
        </is>
      </c>
      <c r="E19" s="74" t="n"/>
      <c r="F19" s="9" t="n"/>
      <c r="G19" s="9" t="n"/>
      <c r="H19" s="94" t="n"/>
      <c r="I19" s="94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>
      <c r="A20" s="9" t="n"/>
      <c r="B20" s="38" t="n"/>
      <c r="C20" s="38" t="n"/>
      <c r="D20" s="73" t="n"/>
      <c r="E20" s="9" t="n"/>
      <c r="F20" s="9" t="n"/>
      <c r="G20" s="9" t="n"/>
      <c r="H20" s="94" t="n"/>
      <c r="I20" s="94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>
      <c r="A21" s="25" t="inlineStr">
        <is>
          <t>Cash Flows</t>
        </is>
      </c>
      <c r="B21" s="50" t="n"/>
      <c r="C21" s="50" t="n"/>
      <c r="D21" s="87" t="n"/>
      <c r="E21" s="3" t="n"/>
      <c r="F21" s="3" t="n"/>
      <c r="G21" s="3" t="n"/>
      <c r="H21" s="94" t="n"/>
      <c r="I21" s="94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>
      <c r="A22" s="69" t="inlineStr">
        <is>
          <t>Net Cash in/(out)flow from operating activities</t>
        </is>
      </c>
      <c r="B22" s="70">
        <f>'I. Cashflow'!B25*Units_Multiplier</f>
        <v/>
      </c>
      <c r="C22" s="70">
        <f>'I. Cashflow'!C25*Units_Multiplier</f>
        <v/>
      </c>
      <c r="D22" s="86" t="inlineStr">
        <is>
          <t>Operating cash flow nearly doubled from £5.9m to £11.4m, reflecting stronger profitability and working capital generation.</t>
        </is>
      </c>
      <c r="E22" s="74" t="n"/>
      <c r="F22" s="9" t="n"/>
      <c r="G22" s="9" t="n"/>
      <c r="H22" s="94" t="n"/>
      <c r="I22" s="94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</row>
    <row r="23">
      <c r="A23" s="69" t="inlineStr">
        <is>
          <t>Capital Expenditure</t>
        </is>
      </c>
      <c r="B23" s="70">
        <f>SUM('I. Cashflow'!B28:B30,'I. Cashflow'!B34)</f>
        <v/>
      </c>
      <c r="C23" s="70">
        <f>SUM('I. Cashflow'!C28:C30,'I. Cashflow'!C34)</f>
        <v/>
      </c>
      <c r="D23" s="86" t="inlineStr">
        <is>
          <t>Capital expenditure increased sharply from £3.2m to £8.0m, consistent with the client's reported 150% rise in sustainability-related capex since 2022.</t>
        </is>
      </c>
      <c r="E23" s="74" t="n"/>
      <c r="F23" s="9" t="n"/>
      <c r="G23" s="9" t="n"/>
      <c r="H23" s="94" t="n"/>
      <c r="I23" s="94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</row>
    <row r="24">
      <c r="A24" s="69" t="inlineStr">
        <is>
          <t>Free Cash Flow</t>
        </is>
      </c>
      <c r="B24" s="70">
        <f>SUM(B22:B23)</f>
        <v/>
      </c>
      <c r="C24" s="70">
        <f>SUM(C22:C23)</f>
        <v/>
      </c>
      <c r="D24" s="86" t="inlineStr">
        <is>
          <t>Free cash flow remained positive in both years (£2.7m and £3.4m), indicating the business is largely self-funding its growth.</t>
        </is>
      </c>
      <c r="E24" s="74" t="n"/>
      <c r="F24" s="9" t="n"/>
      <c r="G24" s="9" t="n"/>
      <c r="H24" s="94" t="n"/>
      <c r="I24" s="94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>
      <c r="A25" s="9" t="n"/>
      <c r="B25" s="38" t="n"/>
      <c r="C25" s="38" t="n"/>
      <c r="D25" s="73" t="n"/>
      <c r="E25" s="9" t="n"/>
      <c r="F25" s="9" t="n"/>
      <c r="G25" s="9" t="n"/>
      <c r="H25" s="94" t="n"/>
      <c r="I25" s="94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>
      <c r="A26" s="25" t="inlineStr">
        <is>
          <t xml:space="preserve">Ratios </t>
        </is>
      </c>
      <c r="B26" s="50" t="n"/>
      <c r="C26" s="50" t="n"/>
      <c r="D26" s="87" t="n"/>
      <c r="E26" s="3" t="n"/>
      <c r="F26" s="3" t="n"/>
      <c r="G26" s="3" t="n"/>
      <c r="H26" s="94" t="n"/>
      <c r="I26" s="94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>
      <c r="A27" s="69" t="inlineStr">
        <is>
          <t>EBITDA Margin</t>
        </is>
      </c>
      <c r="B27" s="75">
        <f>IFERROR(B7/B6,"N/A")</f>
        <v/>
      </c>
      <c r="C27" s="75">
        <f>IFERROR(C7/C6,"N/A")</f>
        <v/>
      </c>
      <c r="D27" s="88" t="inlineStr">
        <is>
          <t>EBITDA margin more than doubled from 4.7% to 10.3%, a strong positive signal for creditworthiness.</t>
        </is>
      </c>
      <c r="E27" s="9" t="n"/>
      <c r="F27" s="9" t="n"/>
      <c r="G27" s="9" t="n"/>
      <c r="H27" s="94" t="n"/>
      <c r="I27" s="94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</row>
    <row r="28">
      <c r="A28" s="85" t="inlineStr">
        <is>
          <t>Operating Margin</t>
        </is>
      </c>
      <c r="B28" s="95">
        <f>IFERROR('I. Profit_Loss'!B12/'I. Profit_Loss'!B5,"N/A")</f>
        <v/>
      </c>
      <c r="C28" s="95">
        <f>IFERROR('I. Profit_Loss'!C12/'I. Profit_Loss'!C5,"N/A")</f>
        <v/>
      </c>
      <c r="D28" s="96" t="inlineStr">
        <is>
          <t>Operating margin improved from 6.3% to 12.1%, mirroring the EBITDA margin trend.</t>
        </is>
      </c>
      <c r="E28" s="74" t="n"/>
      <c r="F28" s="9" t="n"/>
      <c r="G28" s="9" t="n"/>
      <c r="H28" s="94" t="n"/>
      <c r="I28" s="94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</row>
    <row r="29">
      <c r="A29" s="69" t="inlineStr">
        <is>
          <t xml:space="preserve">EBITDA Net Interest Cover (x) </t>
        </is>
      </c>
      <c r="B29" s="95">
        <f>IFERROR(IF(B7&lt;0,"N/A",B7/-B8),"N/A")</f>
        <v/>
      </c>
      <c r="C29" s="95">
        <f>IFERROR(IF(C7&lt;0,"N/A",C7/-C8),"N/A")</f>
        <v/>
      </c>
      <c r="D29" s="96" t="inlineStr">
        <is>
          <t>EBITDA interest cover improved dramatically from 2.1x to 17.5x, meaning interest obligations are very comfortably covered by earnings.</t>
        </is>
      </c>
      <c r="E29" s="74" t="n"/>
      <c r="F29" s="9" t="n"/>
      <c r="G29" s="9" t="n"/>
      <c r="H29" s="94" t="n"/>
      <c r="I29" s="94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>
      <c r="A30" s="69" t="inlineStr">
        <is>
          <t>Current Ratio i.e. Current Assets / Current Liabilities (%)</t>
        </is>
      </c>
      <c r="B30" s="95">
        <f>IFERROR('I. Balance_Sheet'!B24/'I. Balance_Sheet'!B38,"N/A")</f>
        <v/>
      </c>
      <c r="C30" s="95">
        <f>IFERROR('I. Balance_Sheet'!C24/'I. Balance_Sheet'!C38,"N/A")</f>
        <v/>
      </c>
      <c r="D30" s="96" t="inlineStr">
        <is>
          <t>Current ratio declined from 1.87x to 1.37x as current liabilities (notably payables) grew faster than current assets. Still above 1x, but a trend to monitor.</t>
        </is>
      </c>
      <c r="E30" s="74" t="n"/>
      <c r="F30" s="9" t="n"/>
      <c r="G30" s="9" t="n"/>
      <c r="H30" s="94" t="n"/>
      <c r="I30" s="94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</row>
    <row r="31">
      <c r="A31" s="69" t="inlineStr">
        <is>
          <t>Leverage Metric</t>
        </is>
      </c>
      <c r="B31" s="95">
        <f>SUM('I. Balance_Sheet'!B37,'I. Balance_Sheet'!B41)/'I. Profit_Loss'!B28</f>
        <v/>
      </c>
      <c r="C31" s="95">
        <f>SUM('I. Balance_Sheet'!C37,'I. Balance_Sheet'!C41)/'I. Profit_Loss'!C28</f>
        <v/>
      </c>
      <c r="D31" s="96" t="inlineStr">
        <is>
          <t>Leverage (Debt/EBITDA) fell sharply from 7.8x to 1.2x, reflecting strong EBITDA growth combined with active debt reduction - a material de-risking of the credit profile.</t>
        </is>
      </c>
      <c r="E31" s="97" t="n"/>
      <c r="F31" s="98" t="n"/>
      <c r="G31" s="93" t="n"/>
      <c r="H31" s="94" t="n"/>
      <c r="I31" s="94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>
      <c r="A32" s="69" t="inlineStr">
        <is>
          <t>Net Leverage</t>
        </is>
      </c>
      <c r="B32" s="95">
        <f>(SUM('I. Balance_Sheet'!B37,'I. Balance_Sheet'!B41)-'I. Balance_Sheet'!B19)/'I. Profit_Loss'!B28</f>
        <v/>
      </c>
      <c r="C32" s="95">
        <f>(SUM('I. Balance_Sheet'!C37,'I. Balance_Sheet'!C41)-'I. Balance_Sheet'!C19)/'I. Profit_Loss'!C28</f>
        <v/>
      </c>
      <c r="D32" s="96" t="inlineStr">
        <is>
          <t>Net leverage remained negative in both years (net cash position), further reinforcing the client's low leverage risk.</t>
        </is>
      </c>
      <c r="E32" s="74" t="n"/>
      <c r="F32" s="98" t="n"/>
      <c r="G32" s="93" t="n"/>
      <c r="H32" s="94" t="n"/>
      <c r="I32" s="94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  <row r="33">
      <c r="A33" s="69" t="inlineStr">
        <is>
          <t>Cash flow to capital expenditures (CF/CapEX)</t>
        </is>
      </c>
      <c r="B33" s="91">
        <f>B22/B23</f>
        <v/>
      </c>
      <c r="C33" s="91">
        <f>C22/C23</f>
        <v/>
      </c>
      <c r="D33" s="96" t="inlineStr">
        <is>
          <t>Operating cash flow continues to cover capital expenditure in both years, though the coverage margin narrowed as capex investment accelerated.</t>
        </is>
      </c>
      <c r="E33" s="98" t="n"/>
      <c r="F33" s="9" t="n"/>
      <c r="G33" s="9" t="n"/>
      <c r="H33" s="94" t="n"/>
      <c r="I33" s="94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</row>
    <row r="34">
      <c r="A34" s="9" t="n"/>
      <c r="B34" s="19" t="n"/>
      <c r="C34" s="19" t="n"/>
      <c r="D34" s="80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</row>
    <row r="35">
      <c r="A35" s="9" t="n"/>
      <c r="B35" s="19" t="n"/>
      <c r="C35" s="19" t="n"/>
      <c r="D35" s="80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</row>
    <row r="36">
      <c r="A36" s="9" t="n"/>
      <c r="B36" s="19" t="n"/>
      <c r="C36" s="19" t="n"/>
      <c r="D36" s="80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</row>
    <row r="37">
      <c r="A37" s="9" t="n"/>
      <c r="B37" s="19" t="n"/>
      <c r="C37" s="19" t="n"/>
      <c r="D37" s="80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</row>
    <row r="38">
      <c r="A38" s="9" t="n"/>
      <c r="B38" s="19" t="n"/>
      <c r="C38" s="19" t="n"/>
      <c r="D38" s="80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>
      <c r="A39" s="9" t="n"/>
      <c r="B39" s="19" t="n"/>
      <c r="C39" s="19" t="n"/>
      <c r="D39" s="80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</row>
    <row r="40">
      <c r="A40" s="9" t="n"/>
      <c r="B40" s="19" t="n"/>
      <c r="C40" s="19" t="n"/>
      <c r="D40" s="80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>
      <c r="A41" s="9" t="n"/>
      <c r="B41" s="19" t="n"/>
      <c r="C41" s="19" t="n"/>
      <c r="D41" s="80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</row>
    <row r="42">
      <c r="A42" s="9" t="n"/>
      <c r="B42" s="19" t="n"/>
      <c r="C42" s="19" t="n"/>
      <c r="D42" s="80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</row>
    <row r="43">
      <c r="A43" s="9" t="n"/>
      <c r="B43" s="19" t="n"/>
      <c r="C43" s="19" t="n"/>
      <c r="D43" s="80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>
      <c r="A44" s="9" t="n"/>
      <c r="B44" s="19" t="n"/>
      <c r="C44" s="19" t="n"/>
      <c r="D44" s="80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</row>
    <row r="45">
      <c r="A45" s="9" t="n"/>
      <c r="B45" s="19" t="n"/>
      <c r="C45" s="19" t="n"/>
      <c r="D45" s="80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>
      <c r="A46" s="9" t="n"/>
      <c r="B46" s="19" t="n"/>
      <c r="C46" s="19" t="n"/>
      <c r="D46" s="80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</row>
    <row r="47">
      <c r="A47" s="9" t="n"/>
      <c r="B47" s="19" t="n"/>
      <c r="C47" s="19" t="n"/>
      <c r="D47" s="80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</row>
    <row r="48">
      <c r="A48" s="9" t="n"/>
      <c r="B48" s="19" t="n"/>
      <c r="C48" s="19" t="n"/>
      <c r="D48" s="80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</row>
    <row r="49">
      <c r="A49" s="9" t="n"/>
      <c r="B49" s="19" t="n"/>
      <c r="C49" s="19" t="n"/>
      <c r="D49" s="80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</row>
    <row r="50">
      <c r="A50" s="9" t="n"/>
      <c r="B50" s="19" t="n"/>
      <c r="C50" s="19" t="n"/>
      <c r="D50" s="80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</row>
    <row r="51">
      <c r="A51" s="9" t="n"/>
      <c r="B51" s="19" t="n"/>
      <c r="C51" s="19" t="n"/>
      <c r="D51" s="80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</row>
    <row r="52">
      <c r="A52" s="9" t="n"/>
      <c r="B52" s="19" t="n"/>
      <c r="C52" s="19" t="n"/>
      <c r="D52" s="80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</row>
    <row r="53">
      <c r="A53" s="9" t="n"/>
      <c r="B53" s="19" t="n"/>
      <c r="C53" s="19" t="n"/>
      <c r="D53" s="80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</row>
    <row r="54">
      <c r="A54" s="9" t="n"/>
      <c r="B54" s="19" t="n"/>
      <c r="C54" s="19" t="n"/>
      <c r="D54" s="80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</row>
    <row r="55">
      <c r="A55" s="9" t="n"/>
      <c r="B55" s="19" t="n"/>
      <c r="C55" s="19" t="n"/>
      <c r="D55" s="80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>
      <c r="A56" s="9" t="n"/>
      <c r="B56" s="19" t="n"/>
      <c r="C56" s="19" t="n"/>
      <c r="D56" s="80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>
      <c r="A57" s="9" t="n"/>
      <c r="B57" s="19" t="n"/>
      <c r="C57" s="19" t="n"/>
      <c r="D57" s="80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</row>
    <row r="58">
      <c r="A58" s="9" t="n"/>
      <c r="B58" s="19" t="n"/>
      <c r="C58" s="19" t="n"/>
      <c r="D58" s="80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</row>
    <row r="59">
      <c r="A59" s="9" t="n"/>
      <c r="B59" s="19" t="n"/>
      <c r="C59" s="19" t="n"/>
      <c r="D59" s="80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</row>
    <row r="60">
      <c r="A60" s="9" t="n"/>
      <c r="B60" s="19" t="n"/>
      <c r="C60" s="19" t="n"/>
      <c r="D60" s="80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</row>
    <row r="61">
      <c r="A61" s="9" t="n"/>
      <c r="B61" s="19" t="n"/>
      <c r="C61" s="19" t="n"/>
      <c r="D61" s="80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</row>
    <row r="62">
      <c r="A62" s="9" t="n"/>
      <c r="B62" s="19" t="n"/>
      <c r="C62" s="19" t="n"/>
      <c r="D62" s="80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</row>
    <row r="63">
      <c r="A63" s="9" t="n"/>
      <c r="B63" s="19" t="n"/>
      <c r="C63" s="19" t="n"/>
      <c r="D63" s="80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</row>
    <row r="64">
      <c r="A64" s="9" t="n"/>
      <c r="B64" s="19" t="n"/>
      <c r="C64" s="19" t="n"/>
      <c r="D64" s="80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</row>
    <row r="65">
      <c r="A65" s="9" t="n"/>
      <c r="B65" s="19" t="n"/>
      <c r="C65" s="19" t="n"/>
      <c r="D65" s="80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</row>
    <row r="66">
      <c r="A66" s="9" t="n"/>
      <c r="B66" s="19" t="n"/>
      <c r="C66" s="19" t="n"/>
      <c r="D66" s="80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</row>
    <row r="67">
      <c r="A67" s="9" t="n"/>
      <c r="B67" s="19" t="n"/>
      <c r="C67" s="19" t="n"/>
      <c r="D67" s="80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</row>
    <row r="68">
      <c r="A68" s="9" t="n"/>
      <c r="B68" s="19" t="n"/>
      <c r="C68" s="19" t="n"/>
      <c r="D68" s="80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</row>
    <row r="69">
      <c r="A69" s="9" t="n"/>
      <c r="B69" s="19" t="n"/>
      <c r="C69" s="19" t="n"/>
      <c r="D69" s="80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</row>
    <row r="70">
      <c r="A70" s="9" t="n"/>
      <c r="B70" s="19" t="n"/>
      <c r="C70" s="19" t="n"/>
      <c r="D70" s="80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</row>
    <row r="71">
      <c r="A71" s="9" t="n"/>
      <c r="B71" s="19" t="n"/>
      <c r="C71" s="19" t="n"/>
      <c r="D71" s="80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</row>
    <row r="72">
      <c r="A72" s="9" t="n"/>
      <c r="B72" s="19" t="n"/>
      <c r="C72" s="19" t="n"/>
      <c r="D72" s="80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</row>
    <row r="73">
      <c r="A73" s="9" t="n"/>
      <c r="B73" s="19" t="n"/>
      <c r="C73" s="19" t="n"/>
      <c r="D73" s="80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</row>
    <row r="74">
      <c r="A74" s="9" t="n"/>
      <c r="B74" s="19" t="n"/>
      <c r="C74" s="19" t="n"/>
      <c r="D74" s="80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</row>
    <row r="75">
      <c r="A75" s="9" t="n"/>
      <c r="B75" s="19" t="n"/>
      <c r="C75" s="19" t="n"/>
      <c r="D75" s="80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</row>
    <row r="76">
      <c r="A76" s="9" t="n"/>
      <c r="B76" s="19" t="n"/>
      <c r="C76" s="19" t="n"/>
      <c r="D76" s="80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</row>
    <row r="77">
      <c r="A77" s="9" t="n"/>
      <c r="B77" s="19" t="n"/>
      <c r="C77" s="19" t="n"/>
      <c r="D77" s="80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</row>
    <row r="78">
      <c r="A78" s="9" t="n"/>
      <c r="B78" s="19" t="n"/>
      <c r="C78" s="19" t="n"/>
      <c r="D78" s="80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</row>
    <row r="79">
      <c r="A79" s="9" t="n"/>
      <c r="B79" s="19" t="n"/>
      <c r="C79" s="19" t="n"/>
      <c r="D79" s="80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</row>
    <row r="80">
      <c r="A80" s="9" t="n"/>
      <c r="B80" s="19" t="n"/>
      <c r="C80" s="19" t="n"/>
      <c r="D80" s="80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</row>
    <row r="81">
      <c r="A81" s="9" t="n"/>
      <c r="B81" s="19" t="n"/>
      <c r="C81" s="19" t="n"/>
      <c r="D81" s="80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</row>
    <row r="82">
      <c r="A82" s="9" t="n"/>
      <c r="B82" s="19" t="n"/>
      <c r="C82" s="19" t="n"/>
      <c r="D82" s="80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</row>
    <row r="83">
      <c r="A83" s="9" t="n"/>
      <c r="B83" s="19" t="n"/>
      <c r="C83" s="19" t="n"/>
      <c r="D83" s="80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</row>
    <row r="84">
      <c r="A84" s="9" t="n"/>
      <c r="B84" s="19" t="n"/>
      <c r="C84" s="19" t="n"/>
      <c r="D84" s="80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</row>
    <row r="85">
      <c r="A85" s="9" t="n"/>
      <c r="B85" s="19" t="n"/>
      <c r="C85" s="19" t="n"/>
      <c r="D85" s="80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</row>
    <row r="86">
      <c r="A86" s="9" t="n"/>
      <c r="B86" s="19" t="n"/>
      <c r="C86" s="19" t="n"/>
      <c r="D86" s="80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</row>
    <row r="87">
      <c r="A87" s="9" t="n"/>
      <c r="B87" s="19" t="n"/>
      <c r="C87" s="19" t="n"/>
      <c r="D87" s="80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</row>
    <row r="88">
      <c r="A88" s="9" t="n"/>
      <c r="B88" s="19" t="n"/>
      <c r="C88" s="19" t="n"/>
      <c r="D88" s="80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</row>
    <row r="89">
      <c r="A89" s="9" t="n"/>
      <c r="B89" s="19" t="n"/>
      <c r="C89" s="19" t="n"/>
      <c r="D89" s="80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</row>
    <row r="90">
      <c r="A90" s="9" t="n"/>
      <c r="B90" s="19" t="n"/>
      <c r="C90" s="19" t="n"/>
      <c r="D90" s="80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</row>
    <row r="91">
      <c r="A91" s="9" t="n"/>
      <c r="B91" s="19" t="n"/>
      <c r="C91" s="19" t="n"/>
      <c r="D91" s="80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</row>
    <row r="92">
      <c r="A92" s="9" t="n"/>
      <c r="B92" s="19" t="n"/>
      <c r="C92" s="19" t="n"/>
      <c r="D92" s="80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</row>
    <row r="93">
      <c r="A93" s="9" t="n"/>
      <c r="B93" s="19" t="n"/>
      <c r="C93" s="19" t="n"/>
      <c r="D93" s="80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</row>
    <row r="94">
      <c r="A94" s="9" t="n"/>
      <c r="B94" s="19" t="n"/>
      <c r="C94" s="19" t="n"/>
      <c r="D94" s="80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</row>
    <row r="95">
      <c r="A95" s="9" t="n"/>
      <c r="B95" s="19" t="n"/>
      <c r="C95" s="19" t="n"/>
      <c r="D95" s="80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</row>
    <row r="96">
      <c r="A96" s="9" t="n"/>
      <c r="B96" s="19" t="n"/>
      <c r="C96" s="19" t="n"/>
      <c r="D96" s="80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</row>
    <row r="97">
      <c r="A97" s="9" t="n"/>
      <c r="B97" s="19" t="n"/>
      <c r="C97" s="19" t="n"/>
      <c r="D97" s="80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</row>
    <row r="98">
      <c r="A98" s="9" t="n"/>
      <c r="B98" s="19" t="n"/>
      <c r="C98" s="19" t="n"/>
      <c r="D98" s="80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</row>
    <row r="99">
      <c r="A99" s="9" t="n"/>
      <c r="B99" s="19" t="n"/>
      <c r="C99" s="19" t="n"/>
      <c r="D99" s="80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</row>
    <row r="100">
      <c r="A100" s="9" t="n"/>
      <c r="B100" s="19" t="n"/>
      <c r="C100" s="19" t="n"/>
      <c r="D100" s="80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</row>
    <row r="101">
      <c r="A101" s="9" t="n"/>
      <c r="B101" s="19" t="n"/>
      <c r="C101" s="19" t="n"/>
      <c r="D101" s="80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</row>
    <row r="102">
      <c r="A102" s="9" t="n"/>
      <c r="B102" s="19" t="n"/>
      <c r="C102" s="19" t="n"/>
      <c r="D102" s="80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</row>
    <row r="103">
      <c r="A103" s="9" t="n"/>
      <c r="B103" s="19" t="n"/>
      <c r="C103" s="19" t="n"/>
      <c r="D103" s="80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</row>
    <row r="104">
      <c r="A104" s="9" t="n"/>
      <c r="B104" s="19" t="n"/>
      <c r="C104" s="19" t="n"/>
      <c r="D104" s="80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</row>
    <row r="105">
      <c r="A105" s="9" t="n"/>
      <c r="B105" s="19" t="n"/>
      <c r="C105" s="19" t="n"/>
      <c r="D105" s="80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</row>
    <row r="106">
      <c r="A106" s="9" t="n"/>
      <c r="B106" s="19" t="n"/>
      <c r="C106" s="19" t="n"/>
      <c r="D106" s="80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</row>
    <row r="107">
      <c r="A107" s="9" t="n"/>
      <c r="B107" s="19" t="n"/>
      <c r="C107" s="19" t="n"/>
      <c r="D107" s="80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</row>
    <row r="108">
      <c r="A108" s="9" t="n"/>
      <c r="B108" s="19" t="n"/>
      <c r="C108" s="19" t="n"/>
      <c r="D108" s="80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</row>
    <row r="109">
      <c r="A109" s="9" t="n"/>
      <c r="B109" s="19" t="n"/>
      <c r="C109" s="19" t="n"/>
      <c r="D109" s="80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</row>
    <row r="110">
      <c r="A110" s="9" t="n"/>
      <c r="B110" s="19" t="n"/>
      <c r="C110" s="19" t="n"/>
      <c r="D110" s="80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</row>
    <row r="111">
      <c r="A111" s="9" t="n"/>
      <c r="B111" s="19" t="n"/>
      <c r="C111" s="19" t="n"/>
      <c r="D111" s="80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</row>
    <row r="112">
      <c r="A112" s="9" t="n"/>
      <c r="B112" s="19" t="n"/>
      <c r="C112" s="19" t="n"/>
      <c r="D112" s="80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</row>
    <row r="113">
      <c r="A113" s="9" t="n"/>
      <c r="B113" s="19" t="n"/>
      <c r="C113" s="19" t="n"/>
      <c r="D113" s="80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</row>
    <row r="114">
      <c r="A114" s="9" t="n"/>
      <c r="B114" s="19" t="n"/>
      <c r="C114" s="19" t="n"/>
      <c r="D114" s="80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</row>
    <row r="115">
      <c r="A115" s="9" t="n"/>
      <c r="B115" s="19" t="n"/>
      <c r="C115" s="19" t="n"/>
      <c r="D115" s="80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</row>
    <row r="116">
      <c r="A116" s="9" t="n"/>
      <c r="B116" s="19" t="n"/>
      <c r="C116" s="19" t="n"/>
      <c r="D116" s="80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</row>
    <row r="117">
      <c r="A117" s="9" t="n"/>
      <c r="B117" s="19" t="n"/>
      <c r="C117" s="19" t="n"/>
      <c r="D117" s="80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</row>
    <row r="118">
      <c r="A118" s="9" t="n"/>
      <c r="B118" s="19" t="n"/>
      <c r="C118" s="19" t="n"/>
      <c r="D118" s="80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</row>
    <row r="119">
      <c r="A119" s="9" t="n"/>
      <c r="B119" s="19" t="n"/>
      <c r="C119" s="19" t="n"/>
      <c r="D119" s="80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</row>
    <row r="120">
      <c r="A120" s="9" t="n"/>
      <c r="B120" s="19" t="n"/>
      <c r="C120" s="19" t="n"/>
      <c r="D120" s="80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</row>
    <row r="121">
      <c r="A121" s="9" t="n"/>
      <c r="B121" s="19" t="n"/>
      <c r="C121" s="19" t="n"/>
      <c r="D121" s="80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</row>
    <row r="122">
      <c r="A122" s="9" t="n"/>
      <c r="B122" s="19" t="n"/>
      <c r="C122" s="19" t="n"/>
      <c r="D122" s="80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</row>
    <row r="123">
      <c r="A123" s="9" t="n"/>
      <c r="B123" s="19" t="n"/>
      <c r="C123" s="19" t="n"/>
      <c r="D123" s="80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</row>
    <row r="124">
      <c r="A124" s="9" t="n"/>
      <c r="B124" s="19" t="n"/>
      <c r="C124" s="19" t="n"/>
      <c r="D124" s="80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</row>
    <row r="125">
      <c r="A125" s="9" t="n"/>
      <c r="B125" s="19" t="n"/>
      <c r="C125" s="19" t="n"/>
      <c r="D125" s="80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</row>
    <row r="126">
      <c r="A126" s="9" t="n"/>
      <c r="B126" s="19" t="n"/>
      <c r="C126" s="19" t="n"/>
      <c r="D126" s="80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</row>
    <row r="127">
      <c r="A127" s="9" t="n"/>
      <c r="B127" s="19" t="n"/>
      <c r="C127" s="19" t="n"/>
      <c r="D127" s="80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</row>
    <row r="128">
      <c r="A128" s="9" t="n"/>
      <c r="B128" s="19" t="n"/>
      <c r="C128" s="19" t="n"/>
      <c r="D128" s="80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</row>
    <row r="129">
      <c r="A129" s="9" t="n"/>
      <c r="B129" s="19" t="n"/>
      <c r="C129" s="19" t="n"/>
      <c r="D129" s="80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</row>
    <row r="130">
      <c r="A130" s="9" t="n"/>
      <c r="B130" s="19" t="n"/>
      <c r="C130" s="19" t="n"/>
      <c r="D130" s="80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</row>
    <row r="131">
      <c r="A131" s="9" t="n"/>
      <c r="B131" s="19" t="n"/>
      <c r="C131" s="19" t="n"/>
      <c r="D131" s="80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</row>
    <row r="132">
      <c r="A132" s="9" t="n"/>
      <c r="B132" s="19" t="n"/>
      <c r="C132" s="19" t="n"/>
      <c r="D132" s="80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</row>
    <row r="133">
      <c r="A133" s="9" t="n"/>
      <c r="B133" s="19" t="n"/>
      <c r="C133" s="19" t="n"/>
      <c r="D133" s="80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</row>
    <row r="134">
      <c r="A134" s="9" t="n"/>
      <c r="B134" s="19" t="n"/>
      <c r="C134" s="19" t="n"/>
      <c r="D134" s="80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</row>
    <row r="135">
      <c r="A135" s="9" t="n"/>
      <c r="B135" s="19" t="n"/>
      <c r="C135" s="19" t="n"/>
      <c r="D135" s="80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</row>
    <row r="136">
      <c r="A136" s="9" t="n"/>
      <c r="B136" s="19" t="n"/>
      <c r="C136" s="19" t="n"/>
      <c r="D136" s="80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</row>
    <row r="137">
      <c r="A137" s="9" t="n"/>
      <c r="B137" s="19" t="n"/>
      <c r="C137" s="19" t="n"/>
      <c r="D137" s="80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</row>
    <row r="138">
      <c r="A138" s="9" t="n"/>
      <c r="B138" s="19" t="n"/>
      <c r="C138" s="19" t="n"/>
      <c r="D138" s="80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</row>
    <row r="139">
      <c r="A139" s="9" t="n"/>
      <c r="B139" s="19" t="n"/>
      <c r="C139" s="19" t="n"/>
      <c r="D139" s="80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</row>
    <row r="140">
      <c r="A140" s="9" t="n"/>
      <c r="B140" s="19" t="n"/>
      <c r="C140" s="19" t="n"/>
      <c r="D140" s="80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</row>
    <row r="141">
      <c r="A141" s="9" t="n"/>
      <c r="B141" s="19" t="n"/>
      <c r="C141" s="19" t="n"/>
      <c r="D141" s="80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</row>
    <row r="142">
      <c r="A142" s="9" t="n"/>
      <c r="B142" s="19" t="n"/>
      <c r="C142" s="19" t="n"/>
      <c r="D142" s="80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</row>
    <row r="143">
      <c r="A143" s="9" t="n"/>
      <c r="B143" s="19" t="n"/>
      <c r="C143" s="19" t="n"/>
      <c r="D143" s="80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</row>
    <row r="144">
      <c r="A144" s="9" t="n"/>
      <c r="B144" s="19" t="n"/>
      <c r="C144" s="19" t="n"/>
      <c r="D144" s="80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</row>
    <row r="145">
      <c r="A145" s="9" t="n"/>
      <c r="B145" s="19" t="n"/>
      <c r="C145" s="19" t="n"/>
      <c r="D145" s="80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</row>
    <row r="146">
      <c r="A146" s="9" t="n"/>
      <c r="B146" s="19" t="n"/>
      <c r="C146" s="19" t="n"/>
      <c r="D146" s="80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</row>
    <row r="147">
      <c r="A147" s="9" t="n"/>
      <c r="B147" s="19" t="n"/>
      <c r="C147" s="19" t="n"/>
      <c r="D147" s="80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</row>
    <row r="148">
      <c r="A148" s="9" t="n"/>
      <c r="B148" s="19" t="n"/>
      <c r="C148" s="19" t="n"/>
      <c r="D148" s="80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</row>
    <row r="149">
      <c r="A149" s="9" t="n"/>
      <c r="B149" s="19" t="n"/>
      <c r="C149" s="19" t="n"/>
      <c r="D149" s="80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</row>
    <row r="150">
      <c r="A150" s="9" t="n"/>
      <c r="B150" s="19" t="n"/>
      <c r="C150" s="19" t="n"/>
      <c r="D150" s="80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</row>
    <row r="151">
      <c r="A151" s="9" t="n"/>
      <c r="B151" s="19" t="n"/>
      <c r="C151" s="19" t="n"/>
      <c r="D151" s="80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</row>
    <row r="152">
      <c r="A152" s="9" t="n"/>
      <c r="B152" s="19" t="n"/>
      <c r="C152" s="19" t="n"/>
      <c r="D152" s="80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</row>
    <row r="153">
      <c r="A153" s="9" t="n"/>
      <c r="B153" s="19" t="n"/>
      <c r="C153" s="19" t="n"/>
      <c r="D153" s="80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</row>
    <row r="154">
      <c r="A154" s="9" t="n"/>
      <c r="B154" s="19" t="n"/>
      <c r="C154" s="19" t="n"/>
      <c r="D154" s="80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</row>
    <row r="155">
      <c r="A155" s="9" t="n"/>
      <c r="B155" s="19" t="n"/>
      <c r="C155" s="19" t="n"/>
      <c r="D155" s="80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</row>
    <row r="156">
      <c r="A156" s="9" t="n"/>
      <c r="B156" s="19" t="n"/>
      <c r="C156" s="19" t="n"/>
      <c r="D156" s="80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</row>
    <row r="157">
      <c r="A157" s="9" t="n"/>
      <c r="B157" s="19" t="n"/>
      <c r="C157" s="19" t="n"/>
      <c r="D157" s="80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</row>
    <row r="158">
      <c r="A158" s="9" t="n"/>
      <c r="B158" s="19" t="n"/>
      <c r="C158" s="19" t="n"/>
      <c r="D158" s="80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</row>
    <row r="159">
      <c r="A159" s="9" t="n"/>
      <c r="B159" s="19" t="n"/>
      <c r="C159" s="19" t="n"/>
      <c r="D159" s="80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</row>
    <row r="160">
      <c r="A160" s="9" t="n"/>
      <c r="B160" s="19" t="n"/>
      <c r="C160" s="19" t="n"/>
      <c r="D160" s="80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</row>
    <row r="161">
      <c r="A161" s="9" t="n"/>
      <c r="B161" s="19" t="n"/>
      <c r="C161" s="19" t="n"/>
      <c r="D161" s="80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</row>
    <row r="162">
      <c r="A162" s="9" t="n"/>
      <c r="B162" s="19" t="n"/>
      <c r="C162" s="19" t="n"/>
      <c r="D162" s="80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</row>
    <row r="163">
      <c r="A163" s="9" t="n"/>
      <c r="B163" s="19" t="n"/>
      <c r="C163" s="19" t="n"/>
      <c r="D163" s="80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</row>
    <row r="164">
      <c r="A164" s="9" t="n"/>
      <c r="B164" s="19" t="n"/>
      <c r="C164" s="19" t="n"/>
      <c r="D164" s="80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</row>
    <row r="165">
      <c r="A165" s="9" t="n"/>
      <c r="B165" s="19" t="n"/>
      <c r="C165" s="19" t="n"/>
      <c r="D165" s="80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</row>
    <row r="166">
      <c r="A166" s="9" t="n"/>
      <c r="B166" s="19" t="n"/>
      <c r="C166" s="19" t="n"/>
      <c r="D166" s="80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</row>
    <row r="167">
      <c r="A167" s="9" t="n"/>
      <c r="B167" s="19" t="n"/>
      <c r="C167" s="19" t="n"/>
      <c r="D167" s="80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</row>
    <row r="168">
      <c r="A168" s="9" t="n"/>
      <c r="B168" s="19" t="n"/>
      <c r="C168" s="19" t="n"/>
      <c r="D168" s="80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</row>
    <row r="169">
      <c r="A169" s="9" t="n"/>
      <c r="B169" s="19" t="n"/>
      <c r="C169" s="19" t="n"/>
      <c r="D169" s="80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</row>
    <row r="170">
      <c r="A170" s="9" t="n"/>
      <c r="B170" s="19" t="n"/>
      <c r="C170" s="19" t="n"/>
      <c r="D170" s="80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</row>
    <row r="171">
      <c r="A171" s="9" t="n"/>
      <c r="B171" s="19" t="n"/>
      <c r="C171" s="19" t="n"/>
      <c r="D171" s="80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</row>
    <row r="172">
      <c r="A172" s="9" t="n"/>
      <c r="B172" s="19" t="n"/>
      <c r="C172" s="19" t="n"/>
      <c r="D172" s="80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</row>
    <row r="173">
      <c r="A173" s="9" t="n"/>
      <c r="B173" s="19" t="n"/>
      <c r="C173" s="19" t="n"/>
      <c r="D173" s="80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</row>
    <row r="174">
      <c r="A174" s="9" t="n"/>
      <c r="B174" s="19" t="n"/>
      <c r="C174" s="19" t="n"/>
      <c r="D174" s="80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</row>
    <row r="175">
      <c r="A175" s="9" t="n"/>
      <c r="B175" s="19" t="n"/>
      <c r="C175" s="19" t="n"/>
      <c r="D175" s="80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</row>
    <row r="176">
      <c r="A176" s="9" t="n"/>
      <c r="B176" s="19" t="n"/>
      <c r="C176" s="19" t="n"/>
      <c r="D176" s="80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</row>
    <row r="177">
      <c r="A177" s="9" t="n"/>
      <c r="B177" s="19" t="n"/>
      <c r="C177" s="19" t="n"/>
      <c r="D177" s="80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</row>
    <row r="178">
      <c r="A178" s="9" t="n"/>
      <c r="B178" s="19" t="n"/>
      <c r="C178" s="19" t="n"/>
      <c r="D178" s="80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</row>
    <row r="179">
      <c r="A179" s="9" t="n"/>
      <c r="B179" s="19" t="n"/>
      <c r="C179" s="19" t="n"/>
      <c r="D179" s="80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</row>
    <row r="180">
      <c r="A180" s="9" t="n"/>
      <c r="B180" s="19" t="n"/>
      <c r="C180" s="19" t="n"/>
      <c r="D180" s="80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</row>
    <row r="181">
      <c r="A181" s="9" t="n"/>
      <c r="B181" s="19" t="n"/>
      <c r="C181" s="19" t="n"/>
      <c r="D181" s="80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</row>
    <row r="182">
      <c r="A182" s="9" t="n"/>
      <c r="B182" s="19" t="n"/>
      <c r="C182" s="19" t="n"/>
      <c r="D182" s="80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</row>
    <row r="183">
      <c r="A183" s="9" t="n"/>
      <c r="B183" s="19" t="n"/>
      <c r="C183" s="19" t="n"/>
      <c r="D183" s="80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</row>
    <row r="184">
      <c r="A184" s="9" t="n"/>
      <c r="B184" s="19" t="n"/>
      <c r="C184" s="19" t="n"/>
      <c r="D184" s="80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</row>
    <row r="185">
      <c r="A185" s="9" t="n"/>
      <c r="B185" s="19" t="n"/>
      <c r="C185" s="19" t="n"/>
      <c r="D185" s="80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</row>
    <row r="186">
      <c r="A186" s="9" t="n"/>
      <c r="B186" s="19" t="n"/>
      <c r="C186" s="19" t="n"/>
      <c r="D186" s="80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</row>
    <row r="187">
      <c r="A187" s="9" t="n"/>
      <c r="B187" s="19" t="n"/>
      <c r="C187" s="19" t="n"/>
      <c r="D187" s="80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</row>
    <row r="188">
      <c r="A188" s="9" t="n"/>
      <c r="B188" s="19" t="n"/>
      <c r="C188" s="19" t="n"/>
      <c r="D188" s="80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</row>
    <row r="189">
      <c r="A189" s="9" t="n"/>
      <c r="B189" s="19" t="n"/>
      <c r="C189" s="19" t="n"/>
      <c r="D189" s="80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</row>
    <row r="190">
      <c r="A190" s="9" t="n"/>
      <c r="B190" s="19" t="n"/>
      <c r="C190" s="19" t="n"/>
      <c r="D190" s="80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</row>
    <row r="191">
      <c r="A191" s="9" t="n"/>
      <c r="B191" s="19" t="n"/>
      <c r="C191" s="19" t="n"/>
      <c r="D191" s="80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</row>
    <row r="192">
      <c r="A192" s="9" t="n"/>
      <c r="B192" s="19" t="n"/>
      <c r="C192" s="19" t="n"/>
      <c r="D192" s="80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</row>
    <row r="193">
      <c r="A193" s="9" t="n"/>
      <c r="B193" s="19" t="n"/>
      <c r="C193" s="19" t="n"/>
      <c r="D193" s="80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</row>
    <row r="194">
      <c r="A194" s="9" t="n"/>
      <c r="B194" s="19" t="n"/>
      <c r="C194" s="19" t="n"/>
      <c r="D194" s="80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</row>
    <row r="195">
      <c r="A195" s="9" t="n"/>
      <c r="B195" s="19" t="n"/>
      <c r="C195" s="19" t="n"/>
      <c r="D195" s="80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</row>
    <row r="196">
      <c r="A196" s="9" t="n"/>
      <c r="B196" s="19" t="n"/>
      <c r="C196" s="19" t="n"/>
      <c r="D196" s="80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</row>
    <row r="197">
      <c r="A197" s="9" t="n"/>
      <c r="B197" s="19" t="n"/>
      <c r="C197" s="19" t="n"/>
      <c r="D197" s="80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</row>
    <row r="198">
      <c r="A198" s="9" t="n"/>
      <c r="B198" s="19" t="n"/>
      <c r="C198" s="19" t="n"/>
      <c r="D198" s="80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</row>
    <row r="199">
      <c r="A199" s="9" t="n"/>
      <c r="B199" s="19" t="n"/>
      <c r="C199" s="19" t="n"/>
      <c r="D199" s="80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</row>
    <row r="200">
      <c r="A200" s="9" t="n"/>
      <c r="B200" s="19" t="n"/>
      <c r="C200" s="19" t="n"/>
      <c r="D200" s="80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</row>
    <row r="201">
      <c r="A201" s="9" t="n"/>
      <c r="B201" s="19" t="n"/>
      <c r="C201" s="19" t="n"/>
      <c r="D201" s="80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</row>
    <row r="202">
      <c r="A202" s="9" t="n"/>
      <c r="B202" s="19" t="n"/>
      <c r="C202" s="19" t="n"/>
      <c r="D202" s="80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</row>
    <row r="203">
      <c r="A203" s="9" t="n"/>
      <c r="B203" s="19" t="n"/>
      <c r="C203" s="19" t="n"/>
      <c r="D203" s="80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</row>
    <row r="204">
      <c r="A204" s="9" t="n"/>
      <c r="B204" s="19" t="n"/>
      <c r="C204" s="19" t="n"/>
      <c r="D204" s="80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</row>
    <row r="205">
      <c r="A205" s="9" t="n"/>
      <c r="B205" s="19" t="n"/>
      <c r="C205" s="19" t="n"/>
      <c r="D205" s="80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</row>
    <row r="206">
      <c r="A206" s="9" t="n"/>
      <c r="B206" s="19" t="n"/>
      <c r="C206" s="19" t="n"/>
      <c r="D206" s="80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</row>
    <row r="207">
      <c r="A207" s="9" t="n"/>
      <c r="B207" s="19" t="n"/>
      <c r="C207" s="19" t="n"/>
      <c r="D207" s="80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</row>
    <row r="208">
      <c r="A208" s="9" t="n"/>
      <c r="B208" s="19" t="n"/>
      <c r="C208" s="19" t="n"/>
      <c r="D208" s="80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</row>
    <row r="209">
      <c r="A209" s="9" t="n"/>
      <c r="B209" s="19" t="n"/>
      <c r="C209" s="19" t="n"/>
      <c r="D209" s="80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</row>
    <row r="210">
      <c r="A210" s="9" t="n"/>
      <c r="B210" s="19" t="n"/>
      <c r="C210" s="19" t="n"/>
      <c r="D210" s="80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</row>
    <row r="211">
      <c r="A211" s="9" t="n"/>
      <c r="B211" s="19" t="n"/>
      <c r="C211" s="19" t="n"/>
      <c r="D211" s="80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</row>
    <row r="212">
      <c r="A212" s="9" t="n"/>
      <c r="B212" s="19" t="n"/>
      <c r="C212" s="19" t="n"/>
      <c r="D212" s="80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</row>
    <row r="213">
      <c r="A213" s="9" t="n"/>
      <c r="B213" s="19" t="n"/>
      <c r="C213" s="19" t="n"/>
      <c r="D213" s="80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</row>
    <row r="214">
      <c r="A214" s="9" t="n"/>
      <c r="B214" s="19" t="n"/>
      <c r="C214" s="19" t="n"/>
      <c r="D214" s="80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</row>
    <row r="215">
      <c r="A215" s="9" t="n"/>
      <c r="B215" s="19" t="n"/>
      <c r="C215" s="19" t="n"/>
      <c r="D215" s="80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</row>
    <row r="216">
      <c r="A216" s="9" t="n"/>
      <c r="B216" s="19" t="n"/>
      <c r="C216" s="19" t="n"/>
      <c r="D216" s="80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</row>
    <row r="217">
      <c r="A217" s="9" t="n"/>
      <c r="B217" s="19" t="n"/>
      <c r="C217" s="19" t="n"/>
      <c r="D217" s="80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</row>
    <row r="218">
      <c r="A218" s="9" t="n"/>
      <c r="B218" s="19" t="n"/>
      <c r="C218" s="19" t="n"/>
      <c r="D218" s="80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</row>
    <row r="219">
      <c r="A219" s="9" t="n"/>
      <c r="B219" s="19" t="n"/>
      <c r="C219" s="19" t="n"/>
      <c r="D219" s="80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</row>
    <row r="220">
      <c r="A220" s="9" t="n"/>
      <c r="B220" s="19" t="n"/>
      <c r="C220" s="19" t="n"/>
      <c r="D220" s="80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</row>
    <row r="221">
      <c r="A221" s="9" t="n"/>
      <c r="B221" s="19" t="n"/>
      <c r="C221" s="19" t="n"/>
      <c r="D221" s="80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</row>
    <row r="222">
      <c r="A222" s="9" t="n"/>
      <c r="B222" s="19" t="n"/>
      <c r="C222" s="19" t="n"/>
      <c r="D222" s="80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</row>
    <row r="223">
      <c r="A223" s="9" t="n"/>
      <c r="B223" s="19" t="n"/>
      <c r="C223" s="19" t="n"/>
      <c r="D223" s="80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</row>
    <row r="224">
      <c r="A224" s="9" t="n"/>
      <c r="B224" s="19" t="n"/>
      <c r="C224" s="19" t="n"/>
      <c r="D224" s="80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</row>
    <row r="225">
      <c r="A225" s="9" t="n"/>
      <c r="B225" s="19" t="n"/>
      <c r="C225" s="19" t="n"/>
      <c r="D225" s="80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</row>
    <row r="226">
      <c r="A226" s="9" t="n"/>
      <c r="B226" s="19" t="n"/>
      <c r="C226" s="19" t="n"/>
      <c r="D226" s="80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</row>
    <row r="227">
      <c r="A227" s="9" t="n"/>
      <c r="B227" s="19" t="n"/>
      <c r="C227" s="19" t="n"/>
      <c r="D227" s="80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</row>
    <row r="228">
      <c r="A228" s="9" t="n"/>
      <c r="B228" s="19" t="n"/>
      <c r="C228" s="19" t="n"/>
      <c r="D228" s="80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</row>
    <row r="229">
      <c r="A229" s="9" t="n"/>
      <c r="B229" s="19" t="n"/>
      <c r="C229" s="19" t="n"/>
      <c r="D229" s="80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</row>
    <row r="230">
      <c r="A230" s="9" t="n"/>
      <c r="B230" s="19" t="n"/>
      <c r="C230" s="19" t="n"/>
      <c r="D230" s="80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</row>
    <row r="231">
      <c r="A231" s="9" t="n"/>
      <c r="B231" s="19" t="n"/>
      <c r="C231" s="19" t="n"/>
      <c r="D231" s="80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</row>
    <row r="232">
      <c r="A232" s="9" t="n"/>
      <c r="B232" s="19" t="n"/>
      <c r="C232" s="19" t="n"/>
      <c r="D232" s="80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</row>
    <row r="233">
      <c r="A233" s="9" t="n"/>
      <c r="B233" s="19" t="n"/>
      <c r="C233" s="19" t="n"/>
      <c r="D233" s="80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</row>
    <row r="234">
      <c r="A234" s="9" t="n"/>
      <c r="B234" s="19" t="n"/>
      <c r="C234" s="19" t="n"/>
      <c r="D234" s="80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</row>
    <row r="235">
      <c r="A235" s="9" t="n"/>
      <c r="B235" s="19" t="n"/>
      <c r="C235" s="19" t="n"/>
      <c r="D235" s="80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</row>
    <row r="236">
      <c r="A236" s="9" t="n"/>
      <c r="B236" s="19" t="n"/>
      <c r="C236" s="19" t="n"/>
      <c r="D236" s="80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</row>
    <row r="237">
      <c r="A237" s="9" t="n"/>
      <c r="B237" s="19" t="n"/>
      <c r="C237" s="19" t="n"/>
      <c r="D237" s="80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</row>
    <row r="238">
      <c r="A238" s="9" t="n"/>
      <c r="B238" s="19" t="n"/>
      <c r="C238" s="19" t="n"/>
      <c r="D238" s="80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</row>
    <row r="239">
      <c r="A239" s="9" t="n"/>
      <c r="B239" s="19" t="n"/>
      <c r="C239" s="19" t="n"/>
      <c r="D239" s="80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</row>
    <row r="240">
      <c r="A240" s="9" t="n"/>
      <c r="B240" s="19" t="n"/>
      <c r="C240" s="19" t="n"/>
      <c r="D240" s="80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</row>
    <row r="241">
      <c r="A241" s="9" t="n"/>
      <c r="B241" s="19" t="n"/>
      <c r="C241" s="19" t="n"/>
      <c r="D241" s="80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</row>
    <row r="242">
      <c r="A242" s="9" t="n"/>
      <c r="B242" s="19" t="n"/>
      <c r="C242" s="19" t="n"/>
      <c r="D242" s="80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</row>
    <row r="243">
      <c r="A243" s="9" t="n"/>
      <c r="B243" s="19" t="n"/>
      <c r="C243" s="19" t="n"/>
      <c r="D243" s="80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</row>
    <row r="244">
      <c r="A244" s="9" t="n"/>
      <c r="B244" s="19" t="n"/>
      <c r="C244" s="19" t="n"/>
      <c r="D244" s="80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</row>
    <row r="245">
      <c r="A245" s="9" t="n"/>
      <c r="B245" s="19" t="n"/>
      <c r="C245" s="19" t="n"/>
      <c r="D245" s="80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</row>
    <row r="246">
      <c r="A246" s="9" t="n"/>
      <c r="B246" s="19" t="n"/>
      <c r="C246" s="19" t="n"/>
      <c r="D246" s="80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</row>
    <row r="247">
      <c r="A247" s="9" t="n"/>
      <c r="B247" s="19" t="n"/>
      <c r="C247" s="19" t="n"/>
      <c r="D247" s="80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</row>
    <row r="248">
      <c r="A248" s="9" t="n"/>
      <c r="B248" s="19" t="n"/>
      <c r="C248" s="19" t="n"/>
      <c r="D248" s="80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</row>
    <row r="249">
      <c r="A249" s="9" t="n"/>
      <c r="B249" s="19" t="n"/>
      <c r="C249" s="19" t="n"/>
      <c r="D249" s="80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</row>
    <row r="250">
      <c r="A250" s="9" t="n"/>
      <c r="B250" s="19" t="n"/>
      <c r="C250" s="19" t="n"/>
      <c r="D250" s="80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</row>
    <row r="251">
      <c r="A251" s="9" t="n"/>
      <c r="B251" s="19" t="n"/>
      <c r="C251" s="19" t="n"/>
      <c r="D251" s="80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</row>
    <row r="252">
      <c r="A252" s="9" t="n"/>
      <c r="B252" s="19" t="n"/>
      <c r="C252" s="19" t="n"/>
      <c r="D252" s="80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</row>
    <row r="253">
      <c r="A253" s="9" t="n"/>
      <c r="B253" s="19" t="n"/>
      <c r="C253" s="19" t="n"/>
      <c r="D253" s="80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</row>
    <row r="254">
      <c r="A254" s="9" t="n"/>
      <c r="B254" s="19" t="n"/>
      <c r="C254" s="19" t="n"/>
      <c r="D254" s="80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</row>
    <row r="255">
      <c r="A255" s="9" t="n"/>
      <c r="B255" s="19" t="n"/>
      <c r="C255" s="19" t="n"/>
      <c r="D255" s="80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</row>
    <row r="256">
      <c r="A256" s="9" t="n"/>
      <c r="B256" s="19" t="n"/>
      <c r="C256" s="19" t="n"/>
      <c r="D256" s="80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</row>
    <row r="257">
      <c r="A257" s="9" t="n"/>
      <c r="B257" s="19" t="n"/>
      <c r="C257" s="19" t="n"/>
      <c r="D257" s="80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</row>
    <row r="258">
      <c r="A258" s="9" t="n"/>
      <c r="B258" s="19" t="n"/>
      <c r="C258" s="19" t="n"/>
      <c r="D258" s="80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</row>
    <row r="259">
      <c r="A259" s="9" t="n"/>
      <c r="B259" s="19" t="n"/>
      <c r="C259" s="19" t="n"/>
      <c r="D259" s="80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</row>
    <row r="260">
      <c r="A260" s="9" t="n"/>
      <c r="B260" s="19" t="n"/>
      <c r="C260" s="19" t="n"/>
      <c r="D260" s="80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</row>
    <row r="261">
      <c r="A261" s="9" t="n"/>
      <c r="B261" s="19" t="n"/>
      <c r="C261" s="19" t="n"/>
      <c r="D261" s="80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</row>
    <row r="262">
      <c r="A262" s="9" t="n"/>
      <c r="B262" s="19" t="n"/>
      <c r="C262" s="19" t="n"/>
      <c r="D262" s="80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</row>
    <row r="263">
      <c r="A263" s="9" t="n"/>
      <c r="B263" s="19" t="n"/>
      <c r="C263" s="19" t="n"/>
      <c r="D263" s="80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</row>
    <row r="264">
      <c r="A264" s="9" t="n"/>
      <c r="B264" s="19" t="n"/>
      <c r="C264" s="19" t="n"/>
      <c r="D264" s="80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</row>
    <row r="265">
      <c r="A265" s="9" t="n"/>
      <c r="B265" s="19" t="n"/>
      <c r="C265" s="19" t="n"/>
      <c r="D265" s="80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</row>
    <row r="266">
      <c r="A266" s="9" t="n"/>
      <c r="B266" s="19" t="n"/>
      <c r="C266" s="19" t="n"/>
      <c r="D266" s="80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</row>
    <row r="267">
      <c r="A267" s="9" t="n"/>
      <c r="B267" s="19" t="n"/>
      <c r="C267" s="19" t="n"/>
      <c r="D267" s="80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</row>
    <row r="268">
      <c r="A268" s="9" t="n"/>
      <c r="B268" s="19" t="n"/>
      <c r="C268" s="19" t="n"/>
      <c r="D268" s="80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</row>
    <row r="269">
      <c r="A269" s="9" t="n"/>
      <c r="B269" s="19" t="n"/>
      <c r="C269" s="19" t="n"/>
      <c r="D269" s="80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</row>
    <row r="270">
      <c r="A270" s="9" t="n"/>
      <c r="B270" s="19" t="n"/>
      <c r="C270" s="19" t="n"/>
      <c r="D270" s="80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</row>
    <row r="271">
      <c r="A271" s="9" t="n"/>
      <c r="B271" s="19" t="n"/>
      <c r="C271" s="19" t="n"/>
      <c r="D271" s="80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</row>
    <row r="272">
      <c r="A272" s="9" t="n"/>
      <c r="B272" s="19" t="n"/>
      <c r="C272" s="19" t="n"/>
      <c r="D272" s="80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</row>
    <row r="273">
      <c r="A273" s="9" t="n"/>
      <c r="B273" s="19" t="n"/>
      <c r="C273" s="19" t="n"/>
      <c r="D273" s="80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</row>
    <row r="274">
      <c r="A274" s="9" t="n"/>
      <c r="B274" s="19" t="n"/>
      <c r="C274" s="19" t="n"/>
      <c r="D274" s="80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</row>
    <row r="275">
      <c r="A275" s="9" t="n"/>
      <c r="B275" s="19" t="n"/>
      <c r="C275" s="19" t="n"/>
      <c r="D275" s="80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</row>
    <row r="276">
      <c r="A276" s="9" t="n"/>
      <c r="B276" s="19" t="n"/>
      <c r="C276" s="19" t="n"/>
      <c r="D276" s="80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</row>
    <row r="277">
      <c r="A277" s="9" t="n"/>
      <c r="B277" s="19" t="n"/>
      <c r="C277" s="19" t="n"/>
      <c r="D277" s="80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</row>
    <row r="278">
      <c r="A278" s="9" t="n"/>
      <c r="B278" s="19" t="n"/>
      <c r="C278" s="19" t="n"/>
      <c r="D278" s="80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</row>
    <row r="279">
      <c r="A279" s="9" t="n"/>
      <c r="B279" s="19" t="n"/>
      <c r="C279" s="19" t="n"/>
      <c r="D279" s="80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</row>
    <row r="280">
      <c r="A280" s="9" t="n"/>
      <c r="B280" s="19" t="n"/>
      <c r="C280" s="19" t="n"/>
      <c r="D280" s="80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</row>
    <row r="281">
      <c r="A281" s="9" t="n"/>
      <c r="B281" s="19" t="n"/>
      <c r="C281" s="19" t="n"/>
      <c r="D281" s="80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</row>
    <row r="282">
      <c r="A282" s="9" t="n"/>
      <c r="B282" s="19" t="n"/>
      <c r="C282" s="19" t="n"/>
      <c r="D282" s="80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</row>
    <row r="283">
      <c r="A283" s="9" t="n"/>
      <c r="B283" s="19" t="n"/>
      <c r="C283" s="19" t="n"/>
      <c r="D283" s="80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</row>
    <row r="284">
      <c r="A284" s="9" t="n"/>
      <c r="B284" s="19" t="n"/>
      <c r="C284" s="19" t="n"/>
      <c r="D284" s="80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</row>
    <row r="285">
      <c r="A285" s="9" t="n"/>
      <c r="B285" s="19" t="n"/>
      <c r="C285" s="19" t="n"/>
      <c r="D285" s="80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</row>
    <row r="286">
      <c r="A286" s="9" t="n"/>
      <c r="B286" s="19" t="n"/>
      <c r="C286" s="19" t="n"/>
      <c r="D286" s="80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</row>
    <row r="287">
      <c r="A287" s="9" t="n"/>
      <c r="B287" s="19" t="n"/>
      <c r="C287" s="19" t="n"/>
      <c r="D287" s="80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</row>
    <row r="288">
      <c r="A288" s="9" t="n"/>
      <c r="B288" s="19" t="n"/>
      <c r="C288" s="19" t="n"/>
      <c r="D288" s="80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</row>
    <row r="289">
      <c r="A289" s="9" t="n"/>
      <c r="B289" s="19" t="n"/>
      <c r="C289" s="19" t="n"/>
      <c r="D289" s="80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</row>
    <row r="290">
      <c r="A290" s="9" t="n"/>
      <c r="B290" s="19" t="n"/>
      <c r="C290" s="19" t="n"/>
      <c r="D290" s="80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</row>
    <row r="291">
      <c r="A291" s="9" t="n"/>
      <c r="B291" s="19" t="n"/>
      <c r="C291" s="19" t="n"/>
      <c r="D291" s="80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</row>
    <row r="292">
      <c r="A292" s="9" t="n"/>
      <c r="B292" s="19" t="n"/>
      <c r="C292" s="19" t="n"/>
      <c r="D292" s="80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</row>
    <row r="293">
      <c r="A293" s="9" t="n"/>
      <c r="B293" s="19" t="n"/>
      <c r="C293" s="19" t="n"/>
      <c r="D293" s="80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</row>
    <row r="294">
      <c r="A294" s="9" t="n"/>
      <c r="B294" s="19" t="n"/>
      <c r="C294" s="19" t="n"/>
      <c r="D294" s="80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</row>
    <row r="295">
      <c r="A295" s="9" t="n"/>
      <c r="B295" s="19" t="n"/>
      <c r="C295" s="19" t="n"/>
      <c r="D295" s="80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</row>
    <row r="296">
      <c r="A296" s="9" t="n"/>
      <c r="B296" s="19" t="n"/>
      <c r="C296" s="19" t="n"/>
      <c r="D296" s="80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</row>
    <row r="297">
      <c r="A297" s="9" t="n"/>
      <c r="B297" s="19" t="n"/>
      <c r="C297" s="19" t="n"/>
      <c r="D297" s="80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</row>
    <row r="298">
      <c r="A298" s="9" t="n"/>
      <c r="B298" s="19" t="n"/>
      <c r="C298" s="19" t="n"/>
      <c r="D298" s="80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</row>
    <row r="299">
      <c r="A299" s="9" t="n"/>
      <c r="B299" s="19" t="n"/>
      <c r="C299" s="19" t="n"/>
      <c r="D299" s="80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</row>
    <row r="300">
      <c r="A300" s="9" t="n"/>
      <c r="B300" s="19" t="n"/>
      <c r="C300" s="19" t="n"/>
      <c r="D300" s="80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</row>
    <row r="301">
      <c r="A301" s="9" t="n"/>
      <c r="B301" s="19" t="n"/>
      <c r="C301" s="19" t="n"/>
      <c r="D301" s="80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</row>
    <row r="302">
      <c r="A302" s="9" t="n"/>
      <c r="B302" s="19" t="n"/>
      <c r="C302" s="19" t="n"/>
      <c r="D302" s="80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</row>
    <row r="303">
      <c r="A303" s="9" t="n"/>
      <c r="B303" s="19" t="n"/>
      <c r="C303" s="19" t="n"/>
      <c r="D303" s="80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</row>
    <row r="304">
      <c r="A304" s="9" t="n"/>
      <c r="B304" s="19" t="n"/>
      <c r="C304" s="19" t="n"/>
      <c r="D304" s="80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</row>
    <row r="305">
      <c r="A305" s="9" t="n"/>
      <c r="B305" s="19" t="n"/>
      <c r="C305" s="19" t="n"/>
      <c r="D305" s="80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</row>
    <row r="306">
      <c r="A306" s="9" t="n"/>
      <c r="B306" s="19" t="n"/>
      <c r="C306" s="19" t="n"/>
      <c r="D306" s="80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</row>
    <row r="307">
      <c r="A307" s="9" t="n"/>
      <c r="B307" s="19" t="n"/>
      <c r="C307" s="19" t="n"/>
      <c r="D307" s="80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</row>
    <row r="308">
      <c r="A308" s="9" t="n"/>
      <c r="B308" s="19" t="n"/>
      <c r="C308" s="19" t="n"/>
      <c r="D308" s="80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</row>
    <row r="309">
      <c r="A309" s="9" t="n"/>
      <c r="B309" s="19" t="n"/>
      <c r="C309" s="19" t="n"/>
      <c r="D309" s="80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</row>
    <row r="310">
      <c r="A310" s="9" t="n"/>
      <c r="B310" s="19" t="n"/>
      <c r="C310" s="19" t="n"/>
      <c r="D310" s="80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</row>
    <row r="311">
      <c r="A311" s="9" t="n"/>
      <c r="B311" s="19" t="n"/>
      <c r="C311" s="19" t="n"/>
      <c r="D311" s="80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</row>
    <row r="312">
      <c r="A312" s="9" t="n"/>
      <c r="B312" s="19" t="n"/>
      <c r="C312" s="19" t="n"/>
      <c r="D312" s="80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</row>
    <row r="313">
      <c r="A313" s="9" t="n"/>
      <c r="B313" s="19" t="n"/>
      <c r="C313" s="19" t="n"/>
      <c r="D313" s="80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</row>
    <row r="314">
      <c r="A314" s="9" t="n"/>
      <c r="B314" s="19" t="n"/>
      <c r="C314" s="19" t="n"/>
      <c r="D314" s="80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</row>
    <row r="315">
      <c r="A315" s="9" t="n"/>
      <c r="B315" s="19" t="n"/>
      <c r="C315" s="19" t="n"/>
      <c r="D315" s="80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</row>
    <row r="316">
      <c r="A316" s="9" t="n"/>
      <c r="B316" s="19" t="n"/>
      <c r="C316" s="19" t="n"/>
      <c r="D316" s="80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</row>
    <row r="317">
      <c r="A317" s="9" t="n"/>
      <c r="B317" s="19" t="n"/>
      <c r="C317" s="19" t="n"/>
      <c r="D317" s="80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</row>
    <row r="318">
      <c r="A318" s="9" t="n"/>
      <c r="B318" s="19" t="n"/>
      <c r="C318" s="19" t="n"/>
      <c r="D318" s="80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</row>
    <row r="319">
      <c r="A319" s="9" t="n"/>
      <c r="B319" s="19" t="n"/>
      <c r="C319" s="19" t="n"/>
      <c r="D319" s="80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</row>
    <row r="320">
      <c r="A320" s="9" t="n"/>
      <c r="B320" s="19" t="n"/>
      <c r="C320" s="19" t="n"/>
      <c r="D320" s="80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</row>
    <row r="321">
      <c r="A321" s="9" t="n"/>
      <c r="B321" s="19" t="n"/>
      <c r="C321" s="19" t="n"/>
      <c r="D321" s="80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</row>
    <row r="322">
      <c r="A322" s="9" t="n"/>
      <c r="B322" s="19" t="n"/>
      <c r="C322" s="19" t="n"/>
      <c r="D322" s="80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</row>
    <row r="323">
      <c r="A323" s="9" t="n"/>
      <c r="B323" s="19" t="n"/>
      <c r="C323" s="19" t="n"/>
      <c r="D323" s="80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</row>
    <row r="324">
      <c r="A324" s="9" t="n"/>
      <c r="B324" s="19" t="n"/>
      <c r="C324" s="19" t="n"/>
      <c r="D324" s="80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</row>
    <row r="325">
      <c r="A325" s="9" t="n"/>
      <c r="B325" s="19" t="n"/>
      <c r="C325" s="19" t="n"/>
      <c r="D325" s="80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</row>
    <row r="326">
      <c r="A326" s="9" t="n"/>
      <c r="B326" s="19" t="n"/>
      <c r="C326" s="19" t="n"/>
      <c r="D326" s="80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</row>
    <row r="327">
      <c r="A327" s="9" t="n"/>
      <c r="B327" s="19" t="n"/>
      <c r="C327" s="19" t="n"/>
      <c r="D327" s="80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</row>
    <row r="328">
      <c r="A328" s="9" t="n"/>
      <c r="B328" s="19" t="n"/>
      <c r="C328" s="19" t="n"/>
      <c r="D328" s="80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</row>
    <row r="329">
      <c r="A329" s="9" t="n"/>
      <c r="B329" s="19" t="n"/>
      <c r="C329" s="19" t="n"/>
      <c r="D329" s="80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</row>
    <row r="330">
      <c r="A330" s="9" t="n"/>
      <c r="B330" s="19" t="n"/>
      <c r="C330" s="19" t="n"/>
      <c r="D330" s="80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</row>
    <row r="331">
      <c r="A331" s="9" t="n"/>
      <c r="B331" s="19" t="n"/>
      <c r="C331" s="19" t="n"/>
      <c r="D331" s="80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</row>
    <row r="332">
      <c r="A332" s="9" t="n"/>
      <c r="B332" s="19" t="n"/>
      <c r="C332" s="19" t="n"/>
      <c r="D332" s="80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</row>
    <row r="333">
      <c r="A333" s="9" t="n"/>
      <c r="B333" s="19" t="n"/>
      <c r="C333" s="19" t="n"/>
      <c r="D333" s="80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</row>
    <row r="334">
      <c r="A334" s="9" t="n"/>
      <c r="B334" s="19" t="n"/>
      <c r="C334" s="19" t="n"/>
      <c r="D334" s="80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</row>
    <row r="335">
      <c r="A335" s="9" t="n"/>
      <c r="B335" s="19" t="n"/>
      <c r="C335" s="19" t="n"/>
      <c r="D335" s="80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</row>
    <row r="336">
      <c r="A336" s="9" t="n"/>
      <c r="B336" s="19" t="n"/>
      <c r="C336" s="19" t="n"/>
      <c r="D336" s="80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</row>
    <row r="337">
      <c r="A337" s="9" t="n"/>
      <c r="B337" s="19" t="n"/>
      <c r="C337" s="19" t="n"/>
      <c r="D337" s="80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</row>
    <row r="338">
      <c r="A338" s="9" t="n"/>
      <c r="B338" s="19" t="n"/>
      <c r="C338" s="19" t="n"/>
      <c r="D338" s="80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</row>
    <row r="339">
      <c r="A339" s="9" t="n"/>
      <c r="B339" s="19" t="n"/>
      <c r="C339" s="19" t="n"/>
      <c r="D339" s="80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</row>
    <row r="340">
      <c r="A340" s="9" t="n"/>
      <c r="B340" s="19" t="n"/>
      <c r="C340" s="19" t="n"/>
      <c r="D340" s="80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</row>
    <row r="341">
      <c r="A341" s="9" t="n"/>
      <c r="B341" s="19" t="n"/>
      <c r="C341" s="19" t="n"/>
      <c r="D341" s="80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</row>
    <row r="342">
      <c r="A342" s="9" t="n"/>
      <c r="B342" s="19" t="n"/>
      <c r="C342" s="19" t="n"/>
      <c r="D342" s="80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</row>
    <row r="343">
      <c r="A343" s="9" t="n"/>
      <c r="B343" s="19" t="n"/>
      <c r="C343" s="19" t="n"/>
      <c r="D343" s="80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</row>
    <row r="344">
      <c r="A344" s="9" t="n"/>
      <c r="B344" s="19" t="n"/>
      <c r="C344" s="19" t="n"/>
      <c r="D344" s="80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</row>
    <row r="345">
      <c r="A345" s="9" t="n"/>
      <c r="B345" s="19" t="n"/>
      <c r="C345" s="19" t="n"/>
      <c r="D345" s="80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</row>
    <row r="346">
      <c r="A346" s="9" t="n"/>
      <c r="B346" s="19" t="n"/>
      <c r="C346" s="19" t="n"/>
      <c r="D346" s="80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</row>
    <row r="347">
      <c r="A347" s="9" t="n"/>
      <c r="B347" s="19" t="n"/>
      <c r="C347" s="19" t="n"/>
      <c r="D347" s="80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</row>
    <row r="348">
      <c r="A348" s="9" t="n"/>
      <c r="B348" s="19" t="n"/>
      <c r="C348" s="19" t="n"/>
      <c r="D348" s="80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</row>
    <row r="349">
      <c r="A349" s="9" t="n"/>
      <c r="B349" s="19" t="n"/>
      <c r="C349" s="19" t="n"/>
      <c r="D349" s="80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</row>
    <row r="350">
      <c r="A350" s="9" t="n"/>
      <c r="B350" s="19" t="n"/>
      <c r="C350" s="19" t="n"/>
      <c r="D350" s="80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</row>
    <row r="351">
      <c r="A351" s="9" t="n"/>
      <c r="B351" s="19" t="n"/>
      <c r="C351" s="19" t="n"/>
      <c r="D351" s="80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</row>
    <row r="352">
      <c r="A352" s="9" t="n"/>
      <c r="B352" s="19" t="n"/>
      <c r="C352" s="19" t="n"/>
      <c r="D352" s="80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</row>
    <row r="353">
      <c r="A353" s="9" t="n"/>
      <c r="B353" s="19" t="n"/>
      <c r="C353" s="19" t="n"/>
      <c r="D353" s="80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</row>
    <row r="354">
      <c r="A354" s="9" t="n"/>
      <c r="B354" s="19" t="n"/>
      <c r="C354" s="19" t="n"/>
      <c r="D354" s="80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</row>
    <row r="355">
      <c r="A355" s="9" t="n"/>
      <c r="B355" s="19" t="n"/>
      <c r="C355" s="19" t="n"/>
      <c r="D355" s="80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</row>
    <row r="356">
      <c r="A356" s="9" t="n"/>
      <c r="B356" s="19" t="n"/>
      <c r="C356" s="19" t="n"/>
      <c r="D356" s="80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</row>
    <row r="357">
      <c r="A357" s="9" t="n"/>
      <c r="B357" s="19" t="n"/>
      <c r="C357" s="19" t="n"/>
      <c r="D357" s="80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</row>
    <row r="358">
      <c r="A358" s="9" t="n"/>
      <c r="B358" s="19" t="n"/>
      <c r="C358" s="19" t="n"/>
      <c r="D358" s="80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</row>
    <row r="359">
      <c r="A359" s="9" t="n"/>
      <c r="B359" s="19" t="n"/>
      <c r="C359" s="19" t="n"/>
      <c r="D359" s="80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</row>
    <row r="360">
      <c r="A360" s="9" t="n"/>
      <c r="B360" s="19" t="n"/>
      <c r="C360" s="19" t="n"/>
      <c r="D360" s="80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</row>
    <row r="361">
      <c r="A361" s="9" t="n"/>
      <c r="B361" s="19" t="n"/>
      <c r="C361" s="19" t="n"/>
      <c r="D361" s="80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</row>
    <row r="362">
      <c r="A362" s="9" t="n"/>
      <c r="B362" s="19" t="n"/>
      <c r="C362" s="19" t="n"/>
      <c r="D362" s="80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</row>
    <row r="363">
      <c r="A363" s="9" t="n"/>
      <c r="B363" s="19" t="n"/>
      <c r="C363" s="19" t="n"/>
      <c r="D363" s="80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</row>
    <row r="364">
      <c r="A364" s="9" t="n"/>
      <c r="B364" s="19" t="n"/>
      <c r="C364" s="19" t="n"/>
      <c r="D364" s="80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</row>
    <row r="365">
      <c r="A365" s="9" t="n"/>
      <c r="B365" s="19" t="n"/>
      <c r="C365" s="19" t="n"/>
      <c r="D365" s="80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</row>
    <row r="366">
      <c r="A366" s="9" t="n"/>
      <c r="B366" s="19" t="n"/>
      <c r="C366" s="19" t="n"/>
      <c r="D366" s="80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</row>
    <row r="367">
      <c r="A367" s="9" t="n"/>
      <c r="B367" s="19" t="n"/>
      <c r="C367" s="19" t="n"/>
      <c r="D367" s="80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</row>
    <row r="368">
      <c r="A368" s="9" t="n"/>
      <c r="B368" s="19" t="n"/>
      <c r="C368" s="19" t="n"/>
      <c r="D368" s="80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</row>
    <row r="369">
      <c r="A369" s="9" t="n"/>
      <c r="B369" s="19" t="n"/>
      <c r="C369" s="19" t="n"/>
      <c r="D369" s="80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</row>
    <row r="370">
      <c r="A370" s="9" t="n"/>
      <c r="B370" s="19" t="n"/>
      <c r="C370" s="19" t="n"/>
      <c r="D370" s="80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</row>
    <row r="371">
      <c r="A371" s="9" t="n"/>
      <c r="B371" s="19" t="n"/>
      <c r="C371" s="19" t="n"/>
      <c r="D371" s="80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</row>
    <row r="372">
      <c r="A372" s="9" t="n"/>
      <c r="B372" s="19" t="n"/>
      <c r="C372" s="19" t="n"/>
      <c r="D372" s="80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</row>
    <row r="373">
      <c r="A373" s="9" t="n"/>
      <c r="B373" s="19" t="n"/>
      <c r="C373" s="19" t="n"/>
      <c r="D373" s="80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</row>
    <row r="374">
      <c r="A374" s="9" t="n"/>
      <c r="B374" s="19" t="n"/>
      <c r="C374" s="19" t="n"/>
      <c r="D374" s="80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</row>
    <row r="375">
      <c r="A375" s="9" t="n"/>
      <c r="B375" s="19" t="n"/>
      <c r="C375" s="19" t="n"/>
      <c r="D375" s="80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</row>
    <row r="376">
      <c r="A376" s="9" t="n"/>
      <c r="B376" s="19" t="n"/>
      <c r="C376" s="19" t="n"/>
      <c r="D376" s="80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</row>
    <row r="377">
      <c r="A377" s="9" t="n"/>
      <c r="B377" s="19" t="n"/>
      <c r="C377" s="19" t="n"/>
      <c r="D377" s="80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</row>
    <row r="378">
      <c r="A378" s="9" t="n"/>
      <c r="B378" s="19" t="n"/>
      <c r="C378" s="19" t="n"/>
      <c r="D378" s="80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</row>
    <row r="379">
      <c r="A379" s="9" t="n"/>
      <c r="B379" s="19" t="n"/>
      <c r="C379" s="19" t="n"/>
      <c r="D379" s="80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</row>
    <row r="380">
      <c r="A380" s="9" t="n"/>
      <c r="B380" s="19" t="n"/>
      <c r="C380" s="19" t="n"/>
      <c r="D380" s="80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</row>
    <row r="381">
      <c r="A381" s="9" t="n"/>
      <c r="B381" s="19" t="n"/>
      <c r="C381" s="19" t="n"/>
      <c r="D381" s="80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</row>
    <row r="382">
      <c r="A382" s="9" t="n"/>
      <c r="B382" s="19" t="n"/>
      <c r="C382" s="19" t="n"/>
      <c r="D382" s="80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</row>
    <row r="383">
      <c r="A383" s="9" t="n"/>
      <c r="B383" s="19" t="n"/>
      <c r="C383" s="19" t="n"/>
      <c r="D383" s="80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</row>
    <row r="384">
      <c r="A384" s="9" t="n"/>
      <c r="B384" s="19" t="n"/>
      <c r="C384" s="19" t="n"/>
      <c r="D384" s="80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</row>
    <row r="385">
      <c r="A385" s="9" t="n"/>
      <c r="B385" s="19" t="n"/>
      <c r="C385" s="19" t="n"/>
      <c r="D385" s="80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</row>
    <row r="386">
      <c r="A386" s="9" t="n"/>
      <c r="B386" s="19" t="n"/>
      <c r="C386" s="19" t="n"/>
      <c r="D386" s="80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</row>
    <row r="387">
      <c r="A387" s="9" t="n"/>
      <c r="B387" s="19" t="n"/>
      <c r="C387" s="19" t="n"/>
      <c r="D387" s="80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</row>
    <row r="388">
      <c r="A388" s="9" t="n"/>
      <c r="B388" s="19" t="n"/>
      <c r="C388" s="19" t="n"/>
      <c r="D388" s="80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</row>
    <row r="389">
      <c r="A389" s="9" t="n"/>
      <c r="B389" s="19" t="n"/>
      <c r="C389" s="19" t="n"/>
      <c r="D389" s="80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</row>
    <row r="390">
      <c r="A390" s="9" t="n"/>
      <c r="B390" s="19" t="n"/>
      <c r="C390" s="19" t="n"/>
      <c r="D390" s="80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</row>
    <row r="391">
      <c r="A391" s="9" t="n"/>
      <c r="B391" s="19" t="n"/>
      <c r="C391" s="19" t="n"/>
      <c r="D391" s="80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</row>
    <row r="392">
      <c r="A392" s="9" t="n"/>
      <c r="B392" s="19" t="n"/>
      <c r="C392" s="19" t="n"/>
      <c r="D392" s="80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</row>
    <row r="393">
      <c r="A393" s="9" t="n"/>
      <c r="B393" s="19" t="n"/>
      <c r="C393" s="19" t="n"/>
      <c r="D393" s="80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</row>
    <row r="394">
      <c r="A394" s="9" t="n"/>
      <c r="B394" s="19" t="n"/>
      <c r="C394" s="19" t="n"/>
      <c r="D394" s="80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</row>
    <row r="395">
      <c r="A395" s="9" t="n"/>
      <c r="B395" s="19" t="n"/>
      <c r="C395" s="19" t="n"/>
      <c r="D395" s="80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</row>
    <row r="396">
      <c r="A396" s="9" t="n"/>
      <c r="B396" s="19" t="n"/>
      <c r="C396" s="19" t="n"/>
      <c r="D396" s="80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</row>
    <row r="397">
      <c r="A397" s="9" t="n"/>
      <c r="B397" s="19" t="n"/>
      <c r="C397" s="19" t="n"/>
      <c r="D397" s="80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</row>
    <row r="398">
      <c r="A398" s="9" t="n"/>
      <c r="B398" s="19" t="n"/>
      <c r="C398" s="19" t="n"/>
      <c r="D398" s="80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</row>
    <row r="399">
      <c r="A399" s="9" t="n"/>
      <c r="B399" s="19" t="n"/>
      <c r="C399" s="19" t="n"/>
      <c r="D399" s="80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</row>
    <row r="400">
      <c r="A400" s="9" t="n"/>
      <c r="B400" s="19" t="n"/>
      <c r="C400" s="19" t="n"/>
      <c r="D400" s="80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</row>
    <row r="401">
      <c r="A401" s="9" t="n"/>
      <c r="B401" s="19" t="n"/>
      <c r="C401" s="19" t="n"/>
      <c r="D401" s="80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</row>
    <row r="402">
      <c r="A402" s="9" t="n"/>
      <c r="B402" s="19" t="n"/>
      <c r="C402" s="19" t="n"/>
      <c r="D402" s="80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</row>
    <row r="403">
      <c r="A403" s="9" t="n"/>
      <c r="B403" s="19" t="n"/>
      <c r="C403" s="19" t="n"/>
      <c r="D403" s="80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</row>
    <row r="404">
      <c r="A404" s="9" t="n"/>
      <c r="B404" s="19" t="n"/>
      <c r="C404" s="19" t="n"/>
      <c r="D404" s="80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</row>
    <row r="405">
      <c r="A405" s="9" t="n"/>
      <c r="B405" s="19" t="n"/>
      <c r="C405" s="19" t="n"/>
      <c r="D405" s="80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</row>
    <row r="406">
      <c r="A406" s="9" t="n"/>
      <c r="B406" s="19" t="n"/>
      <c r="C406" s="19" t="n"/>
      <c r="D406" s="80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</row>
    <row r="407">
      <c r="A407" s="9" t="n"/>
      <c r="B407" s="19" t="n"/>
      <c r="C407" s="19" t="n"/>
      <c r="D407" s="80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</row>
    <row r="408">
      <c r="A408" s="9" t="n"/>
      <c r="B408" s="19" t="n"/>
      <c r="C408" s="19" t="n"/>
      <c r="D408" s="80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</row>
    <row r="409">
      <c r="A409" s="9" t="n"/>
      <c r="B409" s="19" t="n"/>
      <c r="C409" s="19" t="n"/>
      <c r="D409" s="80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</row>
    <row r="410">
      <c r="A410" s="9" t="n"/>
      <c r="B410" s="19" t="n"/>
      <c r="C410" s="19" t="n"/>
      <c r="D410" s="80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</row>
    <row r="411">
      <c r="A411" s="9" t="n"/>
      <c r="B411" s="19" t="n"/>
      <c r="C411" s="19" t="n"/>
      <c r="D411" s="80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</row>
    <row r="412">
      <c r="A412" s="9" t="n"/>
      <c r="B412" s="19" t="n"/>
      <c r="C412" s="19" t="n"/>
      <c r="D412" s="80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</row>
    <row r="413">
      <c r="A413" s="9" t="n"/>
      <c r="B413" s="19" t="n"/>
      <c r="C413" s="19" t="n"/>
      <c r="D413" s="80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</row>
    <row r="414">
      <c r="A414" s="9" t="n"/>
      <c r="B414" s="19" t="n"/>
      <c r="C414" s="19" t="n"/>
      <c r="D414" s="80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</row>
    <row r="415">
      <c r="A415" s="9" t="n"/>
      <c r="B415" s="19" t="n"/>
      <c r="C415" s="19" t="n"/>
      <c r="D415" s="80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</row>
    <row r="416">
      <c r="A416" s="9" t="n"/>
      <c r="B416" s="19" t="n"/>
      <c r="C416" s="19" t="n"/>
      <c r="D416" s="80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</row>
    <row r="417">
      <c r="A417" s="9" t="n"/>
      <c r="B417" s="19" t="n"/>
      <c r="C417" s="19" t="n"/>
      <c r="D417" s="80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</row>
    <row r="418">
      <c r="A418" s="9" t="n"/>
      <c r="B418" s="19" t="n"/>
      <c r="C418" s="19" t="n"/>
      <c r="D418" s="80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</row>
    <row r="419">
      <c r="A419" s="9" t="n"/>
      <c r="B419" s="19" t="n"/>
      <c r="C419" s="19" t="n"/>
      <c r="D419" s="80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</row>
    <row r="420">
      <c r="A420" s="9" t="n"/>
      <c r="B420" s="19" t="n"/>
      <c r="C420" s="19" t="n"/>
      <c r="D420" s="80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</row>
    <row r="421">
      <c r="A421" s="9" t="n"/>
      <c r="B421" s="19" t="n"/>
      <c r="C421" s="19" t="n"/>
      <c r="D421" s="80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</row>
    <row r="422">
      <c r="A422" s="9" t="n"/>
      <c r="B422" s="19" t="n"/>
      <c r="C422" s="19" t="n"/>
      <c r="D422" s="80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</row>
    <row r="423">
      <c r="A423" s="9" t="n"/>
      <c r="B423" s="19" t="n"/>
      <c r="C423" s="19" t="n"/>
      <c r="D423" s="80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</row>
    <row r="424">
      <c r="A424" s="9" t="n"/>
      <c r="B424" s="19" t="n"/>
      <c r="C424" s="19" t="n"/>
      <c r="D424" s="80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</row>
    <row r="425">
      <c r="A425" s="9" t="n"/>
      <c r="B425" s="19" t="n"/>
      <c r="C425" s="19" t="n"/>
      <c r="D425" s="80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</row>
    <row r="426">
      <c r="A426" s="9" t="n"/>
      <c r="B426" s="19" t="n"/>
      <c r="C426" s="19" t="n"/>
      <c r="D426" s="80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</row>
    <row r="427">
      <c r="A427" s="9" t="n"/>
      <c r="B427" s="19" t="n"/>
      <c r="C427" s="19" t="n"/>
      <c r="D427" s="80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</row>
    <row r="428">
      <c r="A428" s="9" t="n"/>
      <c r="B428" s="19" t="n"/>
      <c r="C428" s="19" t="n"/>
      <c r="D428" s="80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</row>
    <row r="429">
      <c r="A429" s="9" t="n"/>
      <c r="B429" s="19" t="n"/>
      <c r="C429" s="19" t="n"/>
      <c r="D429" s="80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</row>
    <row r="430">
      <c r="A430" s="9" t="n"/>
      <c r="B430" s="19" t="n"/>
      <c r="C430" s="19" t="n"/>
      <c r="D430" s="80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</row>
    <row r="431">
      <c r="A431" s="9" t="n"/>
      <c r="B431" s="19" t="n"/>
      <c r="C431" s="19" t="n"/>
      <c r="D431" s="80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</row>
    <row r="432">
      <c r="A432" s="9" t="n"/>
      <c r="B432" s="19" t="n"/>
      <c r="C432" s="19" t="n"/>
      <c r="D432" s="80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</row>
    <row r="433">
      <c r="A433" s="9" t="n"/>
      <c r="B433" s="19" t="n"/>
      <c r="C433" s="19" t="n"/>
      <c r="D433" s="80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</row>
    <row r="434">
      <c r="A434" s="9" t="n"/>
      <c r="B434" s="19" t="n"/>
      <c r="C434" s="19" t="n"/>
      <c r="D434" s="80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</row>
    <row r="435">
      <c r="A435" s="9" t="n"/>
      <c r="B435" s="19" t="n"/>
      <c r="C435" s="19" t="n"/>
      <c r="D435" s="80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</row>
    <row r="436">
      <c r="A436" s="9" t="n"/>
      <c r="B436" s="19" t="n"/>
      <c r="C436" s="19" t="n"/>
      <c r="D436" s="80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</row>
    <row r="437">
      <c r="A437" s="9" t="n"/>
      <c r="B437" s="19" t="n"/>
      <c r="C437" s="19" t="n"/>
      <c r="D437" s="80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</row>
    <row r="438">
      <c r="A438" s="9" t="n"/>
      <c r="B438" s="19" t="n"/>
      <c r="C438" s="19" t="n"/>
      <c r="D438" s="80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</row>
    <row r="439">
      <c r="A439" s="9" t="n"/>
      <c r="B439" s="19" t="n"/>
      <c r="C439" s="19" t="n"/>
      <c r="D439" s="80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</row>
    <row r="440">
      <c r="A440" s="9" t="n"/>
      <c r="B440" s="19" t="n"/>
      <c r="C440" s="19" t="n"/>
      <c r="D440" s="80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</row>
    <row r="441">
      <c r="A441" s="9" t="n"/>
      <c r="B441" s="19" t="n"/>
      <c r="C441" s="19" t="n"/>
      <c r="D441" s="80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</row>
    <row r="442">
      <c r="A442" s="9" t="n"/>
      <c r="B442" s="19" t="n"/>
      <c r="C442" s="19" t="n"/>
      <c r="D442" s="80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</row>
    <row r="443">
      <c r="A443" s="9" t="n"/>
      <c r="B443" s="19" t="n"/>
      <c r="C443" s="19" t="n"/>
      <c r="D443" s="80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</row>
    <row r="444">
      <c r="A444" s="9" t="n"/>
      <c r="B444" s="19" t="n"/>
      <c r="C444" s="19" t="n"/>
      <c r="D444" s="80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</row>
    <row r="445">
      <c r="A445" s="9" t="n"/>
      <c r="B445" s="19" t="n"/>
      <c r="C445" s="19" t="n"/>
      <c r="D445" s="80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</row>
    <row r="446">
      <c r="A446" s="9" t="n"/>
      <c r="B446" s="19" t="n"/>
      <c r="C446" s="19" t="n"/>
      <c r="D446" s="80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</row>
    <row r="447">
      <c r="A447" s="9" t="n"/>
      <c r="B447" s="19" t="n"/>
      <c r="C447" s="19" t="n"/>
      <c r="D447" s="80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</row>
    <row r="448">
      <c r="A448" s="9" t="n"/>
      <c r="B448" s="19" t="n"/>
      <c r="C448" s="19" t="n"/>
      <c r="D448" s="80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</row>
    <row r="449">
      <c r="A449" s="9" t="n"/>
      <c r="B449" s="19" t="n"/>
      <c r="C449" s="19" t="n"/>
      <c r="D449" s="80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</row>
    <row r="450">
      <c r="A450" s="9" t="n"/>
      <c r="B450" s="19" t="n"/>
      <c r="C450" s="19" t="n"/>
      <c r="D450" s="80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</row>
    <row r="451">
      <c r="A451" s="9" t="n"/>
      <c r="B451" s="19" t="n"/>
      <c r="C451" s="19" t="n"/>
      <c r="D451" s="80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</row>
    <row r="452">
      <c r="A452" s="9" t="n"/>
      <c r="B452" s="19" t="n"/>
      <c r="C452" s="19" t="n"/>
      <c r="D452" s="80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</row>
    <row r="453">
      <c r="A453" s="9" t="n"/>
      <c r="B453" s="19" t="n"/>
      <c r="C453" s="19" t="n"/>
      <c r="D453" s="80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</row>
    <row r="454">
      <c r="A454" s="9" t="n"/>
      <c r="B454" s="19" t="n"/>
      <c r="C454" s="19" t="n"/>
      <c r="D454" s="80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</row>
    <row r="455">
      <c r="A455" s="9" t="n"/>
      <c r="B455" s="19" t="n"/>
      <c r="C455" s="19" t="n"/>
      <c r="D455" s="80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</row>
    <row r="456">
      <c r="A456" s="9" t="n"/>
      <c r="B456" s="19" t="n"/>
      <c r="C456" s="19" t="n"/>
      <c r="D456" s="80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</row>
    <row r="457">
      <c r="A457" s="9" t="n"/>
      <c r="B457" s="19" t="n"/>
      <c r="C457" s="19" t="n"/>
      <c r="D457" s="80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</row>
    <row r="458">
      <c r="A458" s="9" t="n"/>
      <c r="B458" s="19" t="n"/>
      <c r="C458" s="19" t="n"/>
      <c r="D458" s="80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</row>
    <row r="459">
      <c r="A459" s="9" t="n"/>
      <c r="B459" s="19" t="n"/>
      <c r="C459" s="19" t="n"/>
      <c r="D459" s="80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</row>
    <row r="460">
      <c r="A460" s="9" t="n"/>
      <c r="B460" s="19" t="n"/>
      <c r="C460" s="19" t="n"/>
      <c r="D460" s="80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</row>
    <row r="461">
      <c r="A461" s="9" t="n"/>
      <c r="B461" s="19" t="n"/>
      <c r="C461" s="19" t="n"/>
      <c r="D461" s="80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</row>
    <row r="462">
      <c r="A462" s="9" t="n"/>
      <c r="B462" s="19" t="n"/>
      <c r="C462" s="19" t="n"/>
      <c r="D462" s="80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</row>
    <row r="463">
      <c r="A463" s="9" t="n"/>
      <c r="B463" s="19" t="n"/>
      <c r="C463" s="19" t="n"/>
      <c r="D463" s="80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</row>
    <row r="464">
      <c r="A464" s="9" t="n"/>
      <c r="B464" s="19" t="n"/>
      <c r="C464" s="19" t="n"/>
      <c r="D464" s="80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</row>
    <row r="465">
      <c r="A465" s="9" t="n"/>
      <c r="B465" s="19" t="n"/>
      <c r="C465" s="19" t="n"/>
      <c r="D465" s="80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</row>
    <row r="466">
      <c r="A466" s="9" t="n"/>
      <c r="B466" s="19" t="n"/>
      <c r="C466" s="19" t="n"/>
      <c r="D466" s="80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</row>
    <row r="467">
      <c r="A467" s="9" t="n"/>
      <c r="B467" s="19" t="n"/>
      <c r="C467" s="19" t="n"/>
      <c r="D467" s="80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</row>
    <row r="468">
      <c r="A468" s="9" t="n"/>
      <c r="B468" s="19" t="n"/>
      <c r="C468" s="19" t="n"/>
      <c r="D468" s="80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</row>
    <row r="469">
      <c r="A469" s="9" t="n"/>
      <c r="B469" s="19" t="n"/>
      <c r="C469" s="19" t="n"/>
      <c r="D469" s="80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</row>
    <row r="470">
      <c r="A470" s="9" t="n"/>
      <c r="B470" s="19" t="n"/>
      <c r="C470" s="19" t="n"/>
      <c r="D470" s="80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</row>
    <row r="471">
      <c r="A471" s="9" t="n"/>
      <c r="B471" s="19" t="n"/>
      <c r="C471" s="19" t="n"/>
      <c r="D471" s="80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</row>
    <row r="472">
      <c r="A472" s="9" t="n"/>
      <c r="B472" s="19" t="n"/>
      <c r="C472" s="19" t="n"/>
      <c r="D472" s="80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</row>
    <row r="473">
      <c r="A473" s="9" t="n"/>
      <c r="B473" s="19" t="n"/>
      <c r="C473" s="19" t="n"/>
      <c r="D473" s="80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</row>
    <row r="474">
      <c r="A474" s="9" t="n"/>
      <c r="B474" s="19" t="n"/>
      <c r="C474" s="19" t="n"/>
      <c r="D474" s="80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</row>
    <row r="475">
      <c r="A475" s="9" t="n"/>
      <c r="B475" s="19" t="n"/>
      <c r="C475" s="19" t="n"/>
      <c r="D475" s="80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</row>
    <row r="476">
      <c r="A476" s="9" t="n"/>
      <c r="B476" s="19" t="n"/>
      <c r="C476" s="19" t="n"/>
      <c r="D476" s="80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</row>
    <row r="477">
      <c r="A477" s="9" t="n"/>
      <c r="B477" s="19" t="n"/>
      <c r="C477" s="19" t="n"/>
      <c r="D477" s="80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</row>
    <row r="478">
      <c r="A478" s="9" t="n"/>
      <c r="B478" s="19" t="n"/>
      <c r="C478" s="19" t="n"/>
      <c r="D478" s="80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</row>
    <row r="479">
      <c r="A479" s="9" t="n"/>
      <c r="B479" s="19" t="n"/>
      <c r="C479" s="19" t="n"/>
      <c r="D479" s="80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</row>
    <row r="480">
      <c r="A480" s="9" t="n"/>
      <c r="B480" s="19" t="n"/>
      <c r="C480" s="19" t="n"/>
      <c r="D480" s="80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</row>
    <row r="481">
      <c r="A481" s="9" t="n"/>
      <c r="B481" s="19" t="n"/>
      <c r="C481" s="19" t="n"/>
      <c r="D481" s="80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</row>
    <row r="482">
      <c r="A482" s="9" t="n"/>
      <c r="B482" s="19" t="n"/>
      <c r="C482" s="19" t="n"/>
      <c r="D482" s="80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</row>
    <row r="483">
      <c r="A483" s="9" t="n"/>
      <c r="B483" s="19" t="n"/>
      <c r="C483" s="19" t="n"/>
      <c r="D483" s="80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</row>
    <row r="484">
      <c r="A484" s="9" t="n"/>
      <c r="B484" s="19" t="n"/>
      <c r="C484" s="19" t="n"/>
      <c r="D484" s="80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</row>
    <row r="485">
      <c r="A485" s="9" t="n"/>
      <c r="B485" s="19" t="n"/>
      <c r="C485" s="19" t="n"/>
      <c r="D485" s="80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</row>
    <row r="486">
      <c r="A486" s="9" t="n"/>
      <c r="B486" s="19" t="n"/>
      <c r="C486" s="19" t="n"/>
      <c r="D486" s="80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</row>
    <row r="487">
      <c r="A487" s="9" t="n"/>
      <c r="B487" s="19" t="n"/>
      <c r="C487" s="19" t="n"/>
      <c r="D487" s="80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</row>
    <row r="488">
      <c r="A488" s="9" t="n"/>
      <c r="B488" s="19" t="n"/>
      <c r="C488" s="19" t="n"/>
      <c r="D488" s="80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</row>
    <row r="489">
      <c r="A489" s="9" t="n"/>
      <c r="B489" s="19" t="n"/>
      <c r="C489" s="19" t="n"/>
      <c r="D489" s="80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</row>
    <row r="490">
      <c r="A490" s="9" t="n"/>
      <c r="B490" s="19" t="n"/>
      <c r="C490" s="19" t="n"/>
      <c r="D490" s="80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</row>
    <row r="491">
      <c r="A491" s="9" t="n"/>
      <c r="B491" s="19" t="n"/>
      <c r="C491" s="19" t="n"/>
      <c r="D491" s="80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</row>
    <row r="492">
      <c r="A492" s="9" t="n"/>
      <c r="B492" s="19" t="n"/>
      <c r="C492" s="19" t="n"/>
      <c r="D492" s="80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</row>
    <row r="493">
      <c r="A493" s="9" t="n"/>
      <c r="B493" s="19" t="n"/>
      <c r="C493" s="19" t="n"/>
      <c r="D493" s="80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</row>
    <row r="494">
      <c r="A494" s="9" t="n"/>
      <c r="B494" s="19" t="n"/>
      <c r="C494" s="19" t="n"/>
      <c r="D494" s="80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</row>
    <row r="495">
      <c r="A495" s="9" t="n"/>
      <c r="B495" s="19" t="n"/>
      <c r="C495" s="19" t="n"/>
      <c r="D495" s="80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</row>
    <row r="496">
      <c r="A496" s="9" t="n"/>
      <c r="B496" s="19" t="n"/>
      <c r="C496" s="19" t="n"/>
      <c r="D496" s="80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</row>
    <row r="497">
      <c r="A497" s="9" t="n"/>
      <c r="B497" s="19" t="n"/>
      <c r="C497" s="19" t="n"/>
      <c r="D497" s="80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</row>
    <row r="498">
      <c r="A498" s="9" t="n"/>
      <c r="B498" s="19" t="n"/>
      <c r="C498" s="19" t="n"/>
      <c r="D498" s="80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</row>
    <row r="499">
      <c r="A499" s="9" t="n"/>
      <c r="B499" s="19" t="n"/>
      <c r="C499" s="19" t="n"/>
      <c r="D499" s="80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</row>
    <row r="500">
      <c r="A500" s="9" t="n"/>
      <c r="B500" s="19" t="n"/>
      <c r="C500" s="19" t="n"/>
      <c r="D500" s="80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</row>
    <row r="501">
      <c r="A501" s="9" t="n"/>
      <c r="B501" s="19" t="n"/>
      <c r="C501" s="19" t="n"/>
      <c r="D501" s="80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</row>
    <row r="502">
      <c r="A502" s="9" t="n"/>
      <c r="B502" s="19" t="n"/>
      <c r="C502" s="19" t="n"/>
      <c r="D502" s="80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</row>
    <row r="503">
      <c r="A503" s="9" t="n"/>
      <c r="B503" s="19" t="n"/>
      <c r="C503" s="19" t="n"/>
      <c r="D503" s="80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</row>
    <row r="504">
      <c r="A504" s="9" t="n"/>
      <c r="B504" s="19" t="n"/>
      <c r="C504" s="19" t="n"/>
      <c r="D504" s="80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</row>
    <row r="505">
      <c r="A505" s="9" t="n"/>
      <c r="B505" s="19" t="n"/>
      <c r="C505" s="19" t="n"/>
      <c r="D505" s="80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</row>
    <row r="506">
      <c r="A506" s="9" t="n"/>
      <c r="B506" s="19" t="n"/>
      <c r="C506" s="19" t="n"/>
      <c r="D506" s="80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</row>
    <row r="507">
      <c r="A507" s="9" t="n"/>
      <c r="B507" s="19" t="n"/>
      <c r="C507" s="19" t="n"/>
      <c r="D507" s="80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</row>
    <row r="508">
      <c r="A508" s="9" t="n"/>
      <c r="B508" s="19" t="n"/>
      <c r="C508" s="19" t="n"/>
      <c r="D508" s="80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</row>
    <row r="509">
      <c r="A509" s="9" t="n"/>
      <c r="B509" s="19" t="n"/>
      <c r="C509" s="19" t="n"/>
      <c r="D509" s="80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</row>
    <row r="510">
      <c r="A510" s="9" t="n"/>
      <c r="B510" s="19" t="n"/>
      <c r="C510" s="19" t="n"/>
      <c r="D510" s="80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</row>
    <row r="511">
      <c r="A511" s="9" t="n"/>
      <c r="B511" s="19" t="n"/>
      <c r="C511" s="19" t="n"/>
      <c r="D511" s="80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</row>
    <row r="512">
      <c r="A512" s="9" t="n"/>
      <c r="B512" s="19" t="n"/>
      <c r="C512" s="19" t="n"/>
      <c r="D512" s="80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</row>
    <row r="513">
      <c r="A513" s="9" t="n"/>
      <c r="B513" s="19" t="n"/>
      <c r="C513" s="19" t="n"/>
      <c r="D513" s="80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</row>
    <row r="514">
      <c r="A514" s="9" t="n"/>
      <c r="B514" s="19" t="n"/>
      <c r="C514" s="19" t="n"/>
      <c r="D514" s="80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</row>
    <row r="515">
      <c r="A515" s="9" t="n"/>
      <c r="B515" s="19" t="n"/>
      <c r="C515" s="19" t="n"/>
      <c r="D515" s="80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</row>
    <row r="516">
      <c r="A516" s="9" t="n"/>
      <c r="B516" s="19" t="n"/>
      <c r="C516" s="19" t="n"/>
      <c r="D516" s="80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</row>
    <row r="517">
      <c r="A517" s="9" t="n"/>
      <c r="B517" s="19" t="n"/>
      <c r="C517" s="19" t="n"/>
      <c r="D517" s="80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</row>
    <row r="518">
      <c r="A518" s="9" t="n"/>
      <c r="B518" s="19" t="n"/>
      <c r="C518" s="19" t="n"/>
      <c r="D518" s="80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</row>
    <row r="519">
      <c r="A519" s="9" t="n"/>
      <c r="B519" s="19" t="n"/>
      <c r="C519" s="19" t="n"/>
      <c r="D519" s="80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</row>
    <row r="520">
      <c r="A520" s="9" t="n"/>
      <c r="B520" s="19" t="n"/>
      <c r="C520" s="19" t="n"/>
      <c r="D520" s="80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</row>
    <row r="521">
      <c r="A521" s="9" t="n"/>
      <c r="B521" s="19" t="n"/>
      <c r="C521" s="19" t="n"/>
      <c r="D521" s="80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</row>
    <row r="522">
      <c r="A522" s="9" t="n"/>
      <c r="B522" s="19" t="n"/>
      <c r="C522" s="19" t="n"/>
      <c r="D522" s="80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</row>
    <row r="523">
      <c r="A523" s="9" t="n"/>
      <c r="B523" s="19" t="n"/>
      <c r="C523" s="19" t="n"/>
      <c r="D523" s="80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</row>
    <row r="524">
      <c r="A524" s="9" t="n"/>
      <c r="B524" s="19" t="n"/>
      <c r="C524" s="19" t="n"/>
      <c r="D524" s="80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</row>
    <row r="525">
      <c r="A525" s="9" t="n"/>
      <c r="B525" s="19" t="n"/>
      <c r="C525" s="19" t="n"/>
      <c r="D525" s="80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</row>
    <row r="526">
      <c r="A526" s="9" t="n"/>
      <c r="B526" s="19" t="n"/>
      <c r="C526" s="19" t="n"/>
      <c r="D526" s="80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</row>
    <row r="527">
      <c r="A527" s="9" t="n"/>
      <c r="B527" s="19" t="n"/>
      <c r="C527" s="19" t="n"/>
      <c r="D527" s="80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</row>
    <row r="528">
      <c r="A528" s="9" t="n"/>
      <c r="B528" s="19" t="n"/>
      <c r="C528" s="19" t="n"/>
      <c r="D528" s="80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</row>
    <row r="529">
      <c r="A529" s="9" t="n"/>
      <c r="B529" s="19" t="n"/>
      <c r="C529" s="19" t="n"/>
      <c r="D529" s="80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</row>
    <row r="530">
      <c r="A530" s="9" t="n"/>
      <c r="B530" s="19" t="n"/>
      <c r="C530" s="19" t="n"/>
      <c r="D530" s="80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</row>
    <row r="531">
      <c r="A531" s="9" t="n"/>
      <c r="B531" s="19" t="n"/>
      <c r="C531" s="19" t="n"/>
      <c r="D531" s="80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</row>
    <row r="532">
      <c r="A532" s="9" t="n"/>
      <c r="B532" s="19" t="n"/>
      <c r="C532" s="19" t="n"/>
      <c r="D532" s="80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</row>
    <row r="533">
      <c r="A533" s="9" t="n"/>
      <c r="B533" s="19" t="n"/>
      <c r="C533" s="19" t="n"/>
      <c r="D533" s="80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</row>
    <row r="534">
      <c r="A534" s="9" t="n"/>
      <c r="B534" s="19" t="n"/>
      <c r="C534" s="19" t="n"/>
      <c r="D534" s="80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</row>
    <row r="535">
      <c r="A535" s="9" t="n"/>
      <c r="B535" s="19" t="n"/>
      <c r="C535" s="19" t="n"/>
      <c r="D535" s="80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</row>
    <row r="536">
      <c r="A536" s="9" t="n"/>
      <c r="B536" s="19" t="n"/>
      <c r="C536" s="19" t="n"/>
      <c r="D536" s="80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</row>
    <row r="537">
      <c r="A537" s="9" t="n"/>
      <c r="B537" s="19" t="n"/>
      <c r="C537" s="19" t="n"/>
      <c r="D537" s="80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</row>
    <row r="538">
      <c r="A538" s="9" t="n"/>
      <c r="B538" s="19" t="n"/>
      <c r="C538" s="19" t="n"/>
      <c r="D538" s="80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</row>
    <row r="539">
      <c r="A539" s="9" t="n"/>
      <c r="B539" s="19" t="n"/>
      <c r="C539" s="19" t="n"/>
      <c r="D539" s="80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</row>
    <row r="540">
      <c r="A540" s="9" t="n"/>
      <c r="B540" s="19" t="n"/>
      <c r="C540" s="19" t="n"/>
      <c r="D540" s="80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</row>
    <row r="541">
      <c r="A541" s="9" t="n"/>
      <c r="B541" s="19" t="n"/>
      <c r="C541" s="19" t="n"/>
      <c r="D541" s="80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</row>
    <row r="542">
      <c r="A542" s="9" t="n"/>
      <c r="B542" s="19" t="n"/>
      <c r="C542" s="19" t="n"/>
      <c r="D542" s="80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</row>
    <row r="543">
      <c r="A543" s="9" t="n"/>
      <c r="B543" s="19" t="n"/>
      <c r="C543" s="19" t="n"/>
      <c r="D543" s="80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</row>
    <row r="544">
      <c r="A544" s="9" t="n"/>
      <c r="B544" s="19" t="n"/>
      <c r="C544" s="19" t="n"/>
      <c r="D544" s="80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</row>
    <row r="545">
      <c r="A545" s="9" t="n"/>
      <c r="B545" s="19" t="n"/>
      <c r="C545" s="19" t="n"/>
      <c r="D545" s="80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</row>
    <row r="546">
      <c r="A546" s="9" t="n"/>
      <c r="B546" s="19" t="n"/>
      <c r="C546" s="19" t="n"/>
      <c r="D546" s="80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</row>
    <row r="547">
      <c r="A547" s="9" t="n"/>
      <c r="B547" s="19" t="n"/>
      <c r="C547" s="19" t="n"/>
      <c r="D547" s="80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</row>
    <row r="548">
      <c r="A548" s="9" t="n"/>
      <c r="B548" s="19" t="n"/>
      <c r="C548" s="19" t="n"/>
      <c r="D548" s="80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</row>
    <row r="549">
      <c r="A549" s="9" t="n"/>
      <c r="B549" s="19" t="n"/>
      <c r="C549" s="19" t="n"/>
      <c r="D549" s="80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</row>
    <row r="550">
      <c r="A550" s="9" t="n"/>
      <c r="B550" s="19" t="n"/>
      <c r="C550" s="19" t="n"/>
      <c r="D550" s="80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</row>
    <row r="551">
      <c r="A551" s="9" t="n"/>
      <c r="B551" s="19" t="n"/>
      <c r="C551" s="19" t="n"/>
      <c r="D551" s="80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</row>
    <row r="552">
      <c r="A552" s="9" t="n"/>
      <c r="B552" s="19" t="n"/>
      <c r="C552" s="19" t="n"/>
      <c r="D552" s="80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</row>
    <row r="553">
      <c r="A553" s="9" t="n"/>
      <c r="B553" s="19" t="n"/>
      <c r="C553" s="19" t="n"/>
      <c r="D553" s="80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</row>
    <row r="554">
      <c r="A554" s="9" t="n"/>
      <c r="B554" s="19" t="n"/>
      <c r="C554" s="19" t="n"/>
      <c r="D554" s="80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</row>
    <row r="555">
      <c r="A555" s="9" t="n"/>
      <c r="B555" s="19" t="n"/>
      <c r="C555" s="19" t="n"/>
      <c r="D555" s="80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</row>
    <row r="556">
      <c r="A556" s="9" t="n"/>
      <c r="B556" s="19" t="n"/>
      <c r="C556" s="19" t="n"/>
      <c r="D556" s="80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</row>
    <row r="557">
      <c r="A557" s="9" t="n"/>
      <c r="B557" s="19" t="n"/>
      <c r="C557" s="19" t="n"/>
      <c r="D557" s="80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</row>
    <row r="558">
      <c r="A558" s="9" t="n"/>
      <c r="B558" s="19" t="n"/>
      <c r="C558" s="19" t="n"/>
      <c r="D558" s="80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</row>
    <row r="559">
      <c r="A559" s="9" t="n"/>
      <c r="B559" s="19" t="n"/>
      <c r="C559" s="19" t="n"/>
      <c r="D559" s="80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</row>
    <row r="560">
      <c r="A560" s="9" t="n"/>
      <c r="B560" s="19" t="n"/>
      <c r="C560" s="19" t="n"/>
      <c r="D560" s="80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</row>
    <row r="561">
      <c r="A561" s="9" t="n"/>
      <c r="B561" s="19" t="n"/>
      <c r="C561" s="19" t="n"/>
      <c r="D561" s="80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</row>
    <row r="562">
      <c r="A562" s="9" t="n"/>
      <c r="B562" s="19" t="n"/>
      <c r="C562" s="19" t="n"/>
      <c r="D562" s="80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</row>
    <row r="563">
      <c r="A563" s="9" t="n"/>
      <c r="B563" s="19" t="n"/>
      <c r="C563" s="19" t="n"/>
      <c r="D563" s="80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</row>
    <row r="564">
      <c r="A564" s="9" t="n"/>
      <c r="B564" s="19" t="n"/>
      <c r="C564" s="19" t="n"/>
      <c r="D564" s="80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</row>
    <row r="565">
      <c r="A565" s="9" t="n"/>
      <c r="B565" s="19" t="n"/>
      <c r="C565" s="19" t="n"/>
      <c r="D565" s="80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</row>
    <row r="566">
      <c r="A566" s="9" t="n"/>
      <c r="B566" s="19" t="n"/>
      <c r="C566" s="19" t="n"/>
      <c r="D566" s="80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</row>
    <row r="567">
      <c r="A567" s="9" t="n"/>
      <c r="B567" s="19" t="n"/>
      <c r="C567" s="19" t="n"/>
      <c r="D567" s="80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</row>
    <row r="568">
      <c r="A568" s="9" t="n"/>
      <c r="B568" s="19" t="n"/>
      <c r="C568" s="19" t="n"/>
      <c r="D568" s="80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</row>
    <row r="569">
      <c r="A569" s="9" t="n"/>
      <c r="B569" s="19" t="n"/>
      <c r="C569" s="19" t="n"/>
      <c r="D569" s="80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</row>
    <row r="570">
      <c r="A570" s="9" t="n"/>
      <c r="B570" s="19" t="n"/>
      <c r="C570" s="19" t="n"/>
      <c r="D570" s="80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</row>
    <row r="571">
      <c r="A571" s="9" t="n"/>
      <c r="B571" s="19" t="n"/>
      <c r="C571" s="19" t="n"/>
      <c r="D571" s="80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</row>
    <row r="572">
      <c r="A572" s="9" t="n"/>
      <c r="B572" s="19" t="n"/>
      <c r="C572" s="19" t="n"/>
      <c r="D572" s="80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</row>
    <row r="573">
      <c r="A573" s="9" t="n"/>
      <c r="B573" s="19" t="n"/>
      <c r="C573" s="19" t="n"/>
      <c r="D573" s="80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</row>
    <row r="574">
      <c r="A574" s="9" t="n"/>
      <c r="B574" s="19" t="n"/>
      <c r="C574" s="19" t="n"/>
      <c r="D574" s="80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</row>
    <row r="575">
      <c r="A575" s="9" t="n"/>
      <c r="B575" s="19" t="n"/>
      <c r="C575" s="19" t="n"/>
      <c r="D575" s="80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</row>
    <row r="576">
      <c r="A576" s="9" t="n"/>
      <c r="B576" s="19" t="n"/>
      <c r="C576" s="19" t="n"/>
      <c r="D576" s="80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</row>
    <row r="577">
      <c r="A577" s="9" t="n"/>
      <c r="B577" s="19" t="n"/>
      <c r="C577" s="19" t="n"/>
      <c r="D577" s="80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</row>
    <row r="578">
      <c r="A578" s="9" t="n"/>
      <c r="B578" s="19" t="n"/>
      <c r="C578" s="19" t="n"/>
      <c r="D578" s="80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</row>
    <row r="579">
      <c r="A579" s="9" t="n"/>
      <c r="B579" s="19" t="n"/>
      <c r="C579" s="19" t="n"/>
      <c r="D579" s="80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</row>
    <row r="580">
      <c r="A580" s="9" t="n"/>
      <c r="B580" s="19" t="n"/>
      <c r="C580" s="19" t="n"/>
      <c r="D580" s="80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</row>
    <row r="581">
      <c r="A581" s="9" t="n"/>
      <c r="B581" s="19" t="n"/>
      <c r="C581" s="19" t="n"/>
      <c r="D581" s="80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</row>
    <row r="582">
      <c r="A582" s="9" t="n"/>
      <c r="B582" s="19" t="n"/>
      <c r="C582" s="19" t="n"/>
      <c r="D582" s="80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</row>
    <row r="583">
      <c r="A583" s="9" t="n"/>
      <c r="B583" s="19" t="n"/>
      <c r="C583" s="19" t="n"/>
      <c r="D583" s="80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</row>
    <row r="584">
      <c r="A584" s="9" t="n"/>
      <c r="B584" s="19" t="n"/>
      <c r="C584" s="19" t="n"/>
      <c r="D584" s="80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</row>
    <row r="585">
      <c r="A585" s="9" t="n"/>
      <c r="B585" s="19" t="n"/>
      <c r="C585" s="19" t="n"/>
      <c r="D585" s="80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</row>
    <row r="586">
      <c r="A586" s="9" t="n"/>
      <c r="B586" s="19" t="n"/>
      <c r="C586" s="19" t="n"/>
      <c r="D586" s="80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</row>
    <row r="587">
      <c r="A587" s="9" t="n"/>
      <c r="B587" s="19" t="n"/>
      <c r="C587" s="19" t="n"/>
      <c r="D587" s="80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</row>
    <row r="588">
      <c r="A588" s="9" t="n"/>
      <c r="B588" s="19" t="n"/>
      <c r="C588" s="19" t="n"/>
      <c r="D588" s="80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</row>
    <row r="589">
      <c r="A589" s="9" t="n"/>
      <c r="B589" s="19" t="n"/>
      <c r="C589" s="19" t="n"/>
      <c r="D589" s="80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</row>
    <row r="590">
      <c r="A590" s="9" t="n"/>
      <c r="B590" s="19" t="n"/>
      <c r="C590" s="19" t="n"/>
      <c r="D590" s="80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</row>
    <row r="591">
      <c r="A591" s="9" t="n"/>
      <c r="B591" s="19" t="n"/>
      <c r="C591" s="19" t="n"/>
      <c r="D591" s="80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</row>
    <row r="592">
      <c r="A592" s="9" t="n"/>
      <c r="B592" s="19" t="n"/>
      <c r="C592" s="19" t="n"/>
      <c r="D592" s="80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</row>
    <row r="593">
      <c r="A593" s="9" t="n"/>
      <c r="B593" s="19" t="n"/>
      <c r="C593" s="19" t="n"/>
      <c r="D593" s="80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</row>
    <row r="594">
      <c r="A594" s="9" t="n"/>
      <c r="B594" s="19" t="n"/>
      <c r="C594" s="19" t="n"/>
      <c r="D594" s="80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</row>
    <row r="595">
      <c r="A595" s="9" t="n"/>
      <c r="B595" s="19" t="n"/>
      <c r="C595" s="19" t="n"/>
      <c r="D595" s="80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</row>
    <row r="596">
      <c r="A596" s="9" t="n"/>
      <c r="B596" s="19" t="n"/>
      <c r="C596" s="19" t="n"/>
      <c r="D596" s="80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</row>
    <row r="597">
      <c r="A597" s="9" t="n"/>
      <c r="B597" s="19" t="n"/>
      <c r="C597" s="19" t="n"/>
      <c r="D597" s="80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</row>
    <row r="598">
      <c r="A598" s="9" t="n"/>
      <c r="B598" s="19" t="n"/>
      <c r="C598" s="19" t="n"/>
      <c r="D598" s="80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</row>
    <row r="599">
      <c r="A599" s="9" t="n"/>
      <c r="B599" s="19" t="n"/>
      <c r="C599" s="19" t="n"/>
      <c r="D599" s="80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</row>
    <row r="600">
      <c r="A600" s="9" t="n"/>
      <c r="B600" s="19" t="n"/>
      <c r="C600" s="19" t="n"/>
      <c r="D600" s="80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</row>
    <row r="601">
      <c r="A601" s="9" t="n"/>
      <c r="B601" s="19" t="n"/>
      <c r="C601" s="19" t="n"/>
      <c r="D601" s="80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</row>
    <row r="602">
      <c r="A602" s="9" t="n"/>
      <c r="B602" s="19" t="n"/>
      <c r="C602" s="19" t="n"/>
      <c r="D602" s="80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</row>
    <row r="603">
      <c r="A603" s="9" t="n"/>
      <c r="B603" s="19" t="n"/>
      <c r="C603" s="19" t="n"/>
      <c r="D603" s="80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</row>
    <row r="604">
      <c r="A604" s="9" t="n"/>
      <c r="B604" s="19" t="n"/>
      <c r="C604" s="19" t="n"/>
      <c r="D604" s="80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</row>
    <row r="605">
      <c r="A605" s="9" t="n"/>
      <c r="B605" s="19" t="n"/>
      <c r="C605" s="19" t="n"/>
      <c r="D605" s="80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</row>
    <row r="606">
      <c r="A606" s="9" t="n"/>
      <c r="B606" s="19" t="n"/>
      <c r="C606" s="19" t="n"/>
      <c r="D606" s="80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</row>
    <row r="607">
      <c r="A607" s="9" t="n"/>
      <c r="B607" s="19" t="n"/>
      <c r="C607" s="19" t="n"/>
      <c r="D607" s="80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</row>
    <row r="608">
      <c r="A608" s="9" t="n"/>
      <c r="B608" s="19" t="n"/>
      <c r="C608" s="19" t="n"/>
      <c r="D608" s="80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</row>
    <row r="609">
      <c r="A609" s="9" t="n"/>
      <c r="B609" s="19" t="n"/>
      <c r="C609" s="19" t="n"/>
      <c r="D609" s="80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</row>
    <row r="610">
      <c r="A610" s="9" t="n"/>
      <c r="B610" s="19" t="n"/>
      <c r="C610" s="19" t="n"/>
      <c r="D610" s="80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</row>
    <row r="611">
      <c r="A611" s="9" t="n"/>
      <c r="B611" s="19" t="n"/>
      <c r="C611" s="19" t="n"/>
      <c r="D611" s="80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</row>
    <row r="612">
      <c r="A612" s="9" t="n"/>
      <c r="B612" s="19" t="n"/>
      <c r="C612" s="19" t="n"/>
      <c r="D612" s="80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</row>
    <row r="613">
      <c r="A613" s="9" t="n"/>
      <c r="B613" s="19" t="n"/>
      <c r="C613" s="19" t="n"/>
      <c r="D613" s="80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</row>
    <row r="614">
      <c r="A614" s="9" t="n"/>
      <c r="B614" s="19" t="n"/>
      <c r="C614" s="19" t="n"/>
      <c r="D614" s="80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</row>
    <row r="615">
      <c r="A615" s="9" t="n"/>
      <c r="B615" s="19" t="n"/>
      <c r="C615" s="19" t="n"/>
      <c r="D615" s="80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</row>
    <row r="616">
      <c r="A616" s="9" t="n"/>
      <c r="B616" s="19" t="n"/>
      <c r="C616" s="19" t="n"/>
      <c r="D616" s="80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</row>
    <row r="617">
      <c r="A617" s="9" t="n"/>
      <c r="B617" s="19" t="n"/>
      <c r="C617" s="19" t="n"/>
      <c r="D617" s="80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</row>
    <row r="618">
      <c r="A618" s="9" t="n"/>
      <c r="B618" s="19" t="n"/>
      <c r="C618" s="19" t="n"/>
      <c r="D618" s="80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</row>
    <row r="619">
      <c r="A619" s="9" t="n"/>
      <c r="B619" s="19" t="n"/>
      <c r="C619" s="19" t="n"/>
      <c r="D619" s="80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</row>
    <row r="620">
      <c r="A620" s="9" t="n"/>
      <c r="B620" s="19" t="n"/>
      <c r="C620" s="19" t="n"/>
      <c r="D620" s="80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</row>
    <row r="621">
      <c r="A621" s="9" t="n"/>
      <c r="B621" s="19" t="n"/>
      <c r="C621" s="19" t="n"/>
      <c r="D621" s="80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</row>
    <row r="622">
      <c r="A622" s="9" t="n"/>
      <c r="B622" s="19" t="n"/>
      <c r="C622" s="19" t="n"/>
      <c r="D622" s="80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</row>
    <row r="623">
      <c r="A623" s="9" t="n"/>
      <c r="B623" s="19" t="n"/>
      <c r="C623" s="19" t="n"/>
      <c r="D623" s="80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</row>
    <row r="624">
      <c r="A624" s="9" t="n"/>
      <c r="B624" s="19" t="n"/>
      <c r="C624" s="19" t="n"/>
      <c r="D624" s="80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</row>
    <row r="625">
      <c r="A625" s="9" t="n"/>
      <c r="B625" s="19" t="n"/>
      <c r="C625" s="19" t="n"/>
      <c r="D625" s="80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</row>
    <row r="626">
      <c r="A626" s="9" t="n"/>
      <c r="B626" s="19" t="n"/>
      <c r="C626" s="19" t="n"/>
      <c r="D626" s="80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</row>
    <row r="627">
      <c r="A627" s="9" t="n"/>
      <c r="B627" s="19" t="n"/>
      <c r="C627" s="19" t="n"/>
      <c r="D627" s="80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</row>
    <row r="628">
      <c r="A628" s="9" t="n"/>
      <c r="B628" s="19" t="n"/>
      <c r="C628" s="19" t="n"/>
      <c r="D628" s="80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</row>
    <row r="629">
      <c r="A629" s="9" t="n"/>
      <c r="B629" s="19" t="n"/>
      <c r="C629" s="19" t="n"/>
      <c r="D629" s="80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</row>
    <row r="630">
      <c r="A630" s="9" t="n"/>
      <c r="B630" s="19" t="n"/>
      <c r="C630" s="19" t="n"/>
      <c r="D630" s="80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</row>
    <row r="631">
      <c r="A631" s="9" t="n"/>
      <c r="B631" s="19" t="n"/>
      <c r="C631" s="19" t="n"/>
      <c r="D631" s="80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</row>
    <row r="632">
      <c r="A632" s="9" t="n"/>
      <c r="B632" s="19" t="n"/>
      <c r="C632" s="19" t="n"/>
      <c r="D632" s="80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</row>
    <row r="633">
      <c r="A633" s="9" t="n"/>
      <c r="B633" s="19" t="n"/>
      <c r="C633" s="19" t="n"/>
      <c r="D633" s="80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</row>
    <row r="634">
      <c r="A634" s="9" t="n"/>
      <c r="B634" s="19" t="n"/>
      <c r="C634" s="19" t="n"/>
      <c r="D634" s="80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</row>
    <row r="635">
      <c r="A635" s="9" t="n"/>
      <c r="B635" s="19" t="n"/>
      <c r="C635" s="19" t="n"/>
      <c r="D635" s="80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</row>
    <row r="636">
      <c r="A636" s="9" t="n"/>
      <c r="B636" s="19" t="n"/>
      <c r="C636" s="19" t="n"/>
      <c r="D636" s="80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</row>
    <row r="637">
      <c r="A637" s="9" t="n"/>
      <c r="B637" s="19" t="n"/>
      <c r="C637" s="19" t="n"/>
      <c r="D637" s="80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</row>
    <row r="638">
      <c r="A638" s="9" t="n"/>
      <c r="B638" s="19" t="n"/>
      <c r="C638" s="19" t="n"/>
      <c r="D638" s="80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</row>
    <row r="639">
      <c r="A639" s="9" t="n"/>
      <c r="B639" s="19" t="n"/>
      <c r="C639" s="19" t="n"/>
      <c r="D639" s="80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</row>
    <row r="640">
      <c r="A640" s="9" t="n"/>
      <c r="B640" s="19" t="n"/>
      <c r="C640" s="19" t="n"/>
      <c r="D640" s="80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</row>
    <row r="641">
      <c r="A641" s="9" t="n"/>
      <c r="B641" s="19" t="n"/>
      <c r="C641" s="19" t="n"/>
      <c r="D641" s="80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</row>
    <row r="642">
      <c r="A642" s="9" t="n"/>
      <c r="B642" s="19" t="n"/>
      <c r="C642" s="19" t="n"/>
      <c r="D642" s="80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</row>
    <row r="643">
      <c r="A643" s="9" t="n"/>
      <c r="B643" s="19" t="n"/>
      <c r="C643" s="19" t="n"/>
      <c r="D643" s="80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</row>
    <row r="644">
      <c r="A644" s="9" t="n"/>
      <c r="B644" s="19" t="n"/>
      <c r="C644" s="19" t="n"/>
      <c r="D644" s="80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</row>
    <row r="645">
      <c r="A645" s="9" t="n"/>
      <c r="B645" s="19" t="n"/>
      <c r="C645" s="19" t="n"/>
      <c r="D645" s="80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</row>
    <row r="646">
      <c r="A646" s="9" t="n"/>
      <c r="B646" s="19" t="n"/>
      <c r="C646" s="19" t="n"/>
      <c r="D646" s="80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</row>
    <row r="647">
      <c r="A647" s="9" t="n"/>
      <c r="B647" s="19" t="n"/>
      <c r="C647" s="19" t="n"/>
      <c r="D647" s="80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</row>
    <row r="648">
      <c r="A648" s="9" t="n"/>
      <c r="B648" s="19" t="n"/>
      <c r="C648" s="19" t="n"/>
      <c r="D648" s="80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</row>
    <row r="649">
      <c r="A649" s="9" t="n"/>
      <c r="B649" s="19" t="n"/>
      <c r="C649" s="19" t="n"/>
      <c r="D649" s="80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</row>
    <row r="650">
      <c r="A650" s="9" t="n"/>
      <c r="B650" s="19" t="n"/>
      <c r="C650" s="19" t="n"/>
      <c r="D650" s="80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</row>
    <row r="651">
      <c r="A651" s="9" t="n"/>
      <c r="B651" s="19" t="n"/>
      <c r="C651" s="19" t="n"/>
      <c r="D651" s="80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</row>
    <row r="652">
      <c r="A652" s="9" t="n"/>
      <c r="B652" s="19" t="n"/>
      <c r="C652" s="19" t="n"/>
      <c r="D652" s="80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</row>
    <row r="653">
      <c r="A653" s="9" t="n"/>
      <c r="B653" s="19" t="n"/>
      <c r="C653" s="19" t="n"/>
      <c r="D653" s="80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</row>
    <row r="654">
      <c r="A654" s="9" t="n"/>
      <c r="B654" s="19" t="n"/>
      <c r="C654" s="19" t="n"/>
      <c r="D654" s="80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</row>
    <row r="655">
      <c r="A655" s="9" t="n"/>
      <c r="B655" s="19" t="n"/>
      <c r="C655" s="19" t="n"/>
      <c r="D655" s="80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</row>
    <row r="656">
      <c r="A656" s="9" t="n"/>
      <c r="B656" s="19" t="n"/>
      <c r="C656" s="19" t="n"/>
      <c r="D656" s="80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</row>
    <row r="657">
      <c r="A657" s="9" t="n"/>
      <c r="B657" s="19" t="n"/>
      <c r="C657" s="19" t="n"/>
      <c r="D657" s="80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</row>
    <row r="658">
      <c r="A658" s="9" t="n"/>
      <c r="B658" s="19" t="n"/>
      <c r="C658" s="19" t="n"/>
      <c r="D658" s="80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</row>
    <row r="659">
      <c r="A659" s="9" t="n"/>
      <c r="B659" s="19" t="n"/>
      <c r="C659" s="19" t="n"/>
      <c r="D659" s="80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</row>
    <row r="660">
      <c r="A660" s="9" t="n"/>
      <c r="B660" s="19" t="n"/>
      <c r="C660" s="19" t="n"/>
      <c r="D660" s="80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</row>
    <row r="661">
      <c r="A661" s="9" t="n"/>
      <c r="B661" s="19" t="n"/>
      <c r="C661" s="19" t="n"/>
      <c r="D661" s="80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</row>
    <row r="662">
      <c r="A662" s="9" t="n"/>
      <c r="B662" s="19" t="n"/>
      <c r="C662" s="19" t="n"/>
      <c r="D662" s="80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</row>
    <row r="663">
      <c r="A663" s="9" t="n"/>
      <c r="B663" s="19" t="n"/>
      <c r="C663" s="19" t="n"/>
      <c r="D663" s="80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</row>
    <row r="664">
      <c r="A664" s="9" t="n"/>
      <c r="B664" s="19" t="n"/>
      <c r="C664" s="19" t="n"/>
      <c r="D664" s="80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</row>
    <row r="665">
      <c r="A665" s="9" t="n"/>
      <c r="B665" s="19" t="n"/>
      <c r="C665" s="19" t="n"/>
      <c r="D665" s="80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</row>
    <row r="666">
      <c r="A666" s="9" t="n"/>
      <c r="B666" s="19" t="n"/>
      <c r="C666" s="19" t="n"/>
      <c r="D666" s="80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</row>
    <row r="667">
      <c r="A667" s="9" t="n"/>
      <c r="B667" s="19" t="n"/>
      <c r="C667" s="19" t="n"/>
      <c r="D667" s="80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</row>
    <row r="668">
      <c r="A668" s="9" t="n"/>
      <c r="B668" s="19" t="n"/>
      <c r="C668" s="19" t="n"/>
      <c r="D668" s="80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</row>
    <row r="669">
      <c r="A669" s="9" t="n"/>
      <c r="B669" s="19" t="n"/>
      <c r="C669" s="19" t="n"/>
      <c r="D669" s="80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</row>
    <row r="670">
      <c r="A670" s="9" t="n"/>
      <c r="B670" s="19" t="n"/>
      <c r="C670" s="19" t="n"/>
      <c r="D670" s="80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</row>
    <row r="671">
      <c r="A671" s="9" t="n"/>
      <c r="B671" s="19" t="n"/>
      <c r="C671" s="19" t="n"/>
      <c r="D671" s="80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</row>
    <row r="672">
      <c r="A672" s="9" t="n"/>
      <c r="B672" s="19" t="n"/>
      <c r="C672" s="19" t="n"/>
      <c r="D672" s="80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</row>
    <row r="673">
      <c r="A673" s="9" t="n"/>
      <c r="B673" s="19" t="n"/>
      <c r="C673" s="19" t="n"/>
      <c r="D673" s="80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</row>
    <row r="674">
      <c r="A674" s="9" t="n"/>
      <c r="B674" s="19" t="n"/>
      <c r="C674" s="19" t="n"/>
      <c r="D674" s="80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</row>
    <row r="675">
      <c r="A675" s="9" t="n"/>
      <c r="B675" s="19" t="n"/>
      <c r="C675" s="19" t="n"/>
      <c r="D675" s="80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</row>
    <row r="676">
      <c r="A676" s="9" t="n"/>
      <c r="B676" s="19" t="n"/>
      <c r="C676" s="19" t="n"/>
      <c r="D676" s="80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</row>
    <row r="677">
      <c r="A677" s="9" t="n"/>
      <c r="B677" s="19" t="n"/>
      <c r="C677" s="19" t="n"/>
      <c r="D677" s="80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</row>
    <row r="678">
      <c r="A678" s="9" t="n"/>
      <c r="B678" s="19" t="n"/>
      <c r="C678" s="19" t="n"/>
      <c r="D678" s="80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</row>
    <row r="679">
      <c r="A679" s="9" t="n"/>
      <c r="B679" s="19" t="n"/>
      <c r="C679" s="19" t="n"/>
      <c r="D679" s="80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</row>
    <row r="680">
      <c r="A680" s="9" t="n"/>
      <c r="B680" s="19" t="n"/>
      <c r="C680" s="19" t="n"/>
      <c r="D680" s="80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</row>
    <row r="681">
      <c r="A681" s="9" t="n"/>
      <c r="B681" s="19" t="n"/>
      <c r="C681" s="19" t="n"/>
      <c r="D681" s="80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</row>
    <row r="682">
      <c r="A682" s="9" t="n"/>
      <c r="B682" s="19" t="n"/>
      <c r="C682" s="19" t="n"/>
      <c r="D682" s="80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</row>
    <row r="683">
      <c r="A683" s="9" t="n"/>
      <c r="B683" s="19" t="n"/>
      <c r="C683" s="19" t="n"/>
      <c r="D683" s="80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</row>
    <row r="684">
      <c r="A684" s="9" t="n"/>
      <c r="B684" s="19" t="n"/>
      <c r="C684" s="19" t="n"/>
      <c r="D684" s="80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</row>
    <row r="685">
      <c r="A685" s="9" t="n"/>
      <c r="B685" s="19" t="n"/>
      <c r="C685" s="19" t="n"/>
      <c r="D685" s="80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</row>
    <row r="686">
      <c r="A686" s="9" t="n"/>
      <c r="B686" s="19" t="n"/>
      <c r="C686" s="19" t="n"/>
      <c r="D686" s="80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</row>
    <row r="687">
      <c r="A687" s="9" t="n"/>
      <c r="B687" s="19" t="n"/>
      <c r="C687" s="19" t="n"/>
      <c r="D687" s="80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</row>
    <row r="688">
      <c r="A688" s="9" t="n"/>
      <c r="B688" s="19" t="n"/>
      <c r="C688" s="19" t="n"/>
      <c r="D688" s="80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</row>
    <row r="689">
      <c r="A689" s="9" t="n"/>
      <c r="B689" s="19" t="n"/>
      <c r="C689" s="19" t="n"/>
      <c r="D689" s="80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</row>
    <row r="690">
      <c r="A690" s="9" t="n"/>
      <c r="B690" s="19" t="n"/>
      <c r="C690" s="19" t="n"/>
      <c r="D690" s="80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</row>
    <row r="691">
      <c r="A691" s="9" t="n"/>
      <c r="B691" s="19" t="n"/>
      <c r="C691" s="19" t="n"/>
      <c r="D691" s="80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</row>
    <row r="692">
      <c r="A692" s="9" t="n"/>
      <c r="B692" s="19" t="n"/>
      <c r="C692" s="19" t="n"/>
      <c r="D692" s="80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</row>
    <row r="693">
      <c r="A693" s="9" t="n"/>
      <c r="B693" s="19" t="n"/>
      <c r="C693" s="19" t="n"/>
      <c r="D693" s="80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</row>
    <row r="694">
      <c r="A694" s="9" t="n"/>
      <c r="B694" s="19" t="n"/>
      <c r="C694" s="19" t="n"/>
      <c r="D694" s="80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</row>
    <row r="695">
      <c r="A695" s="9" t="n"/>
      <c r="B695" s="19" t="n"/>
      <c r="C695" s="19" t="n"/>
      <c r="D695" s="80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</row>
    <row r="696">
      <c r="A696" s="9" t="n"/>
      <c r="B696" s="19" t="n"/>
      <c r="C696" s="19" t="n"/>
      <c r="D696" s="80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</row>
    <row r="697">
      <c r="A697" s="9" t="n"/>
      <c r="B697" s="19" t="n"/>
      <c r="C697" s="19" t="n"/>
      <c r="D697" s="80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</row>
    <row r="698">
      <c r="A698" s="9" t="n"/>
      <c r="B698" s="19" t="n"/>
      <c r="C698" s="19" t="n"/>
      <c r="D698" s="80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</row>
    <row r="699">
      <c r="A699" s="9" t="n"/>
      <c r="B699" s="19" t="n"/>
      <c r="C699" s="19" t="n"/>
      <c r="D699" s="80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</row>
    <row r="700">
      <c r="A700" s="9" t="n"/>
      <c r="B700" s="19" t="n"/>
      <c r="C700" s="19" t="n"/>
      <c r="D700" s="80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</row>
    <row r="701">
      <c r="A701" s="9" t="n"/>
      <c r="B701" s="19" t="n"/>
      <c r="C701" s="19" t="n"/>
      <c r="D701" s="80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</row>
    <row r="702">
      <c r="A702" s="9" t="n"/>
      <c r="B702" s="19" t="n"/>
      <c r="C702" s="19" t="n"/>
      <c r="D702" s="80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</row>
    <row r="703">
      <c r="A703" s="9" t="n"/>
      <c r="B703" s="19" t="n"/>
      <c r="C703" s="19" t="n"/>
      <c r="D703" s="80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</row>
    <row r="704">
      <c r="A704" s="9" t="n"/>
      <c r="B704" s="19" t="n"/>
      <c r="C704" s="19" t="n"/>
      <c r="D704" s="80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</row>
    <row r="705">
      <c r="A705" s="9" t="n"/>
      <c r="B705" s="19" t="n"/>
      <c r="C705" s="19" t="n"/>
      <c r="D705" s="80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</row>
    <row r="706">
      <c r="A706" s="9" t="n"/>
      <c r="B706" s="19" t="n"/>
      <c r="C706" s="19" t="n"/>
      <c r="D706" s="80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</row>
    <row r="707">
      <c r="A707" s="9" t="n"/>
      <c r="B707" s="19" t="n"/>
      <c r="C707" s="19" t="n"/>
      <c r="D707" s="80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</row>
    <row r="708">
      <c r="A708" s="9" t="n"/>
      <c r="B708" s="19" t="n"/>
      <c r="C708" s="19" t="n"/>
      <c r="D708" s="80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</row>
    <row r="709">
      <c r="A709" s="9" t="n"/>
      <c r="B709" s="19" t="n"/>
      <c r="C709" s="19" t="n"/>
      <c r="D709" s="80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</row>
    <row r="710">
      <c r="A710" s="9" t="n"/>
      <c r="B710" s="19" t="n"/>
      <c r="C710" s="19" t="n"/>
      <c r="D710" s="80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</row>
    <row r="711">
      <c r="A711" s="9" t="n"/>
      <c r="B711" s="19" t="n"/>
      <c r="C711" s="19" t="n"/>
      <c r="D711" s="80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</row>
    <row r="712">
      <c r="A712" s="9" t="n"/>
      <c r="B712" s="19" t="n"/>
      <c r="C712" s="19" t="n"/>
      <c r="D712" s="80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</row>
    <row r="713">
      <c r="A713" s="9" t="n"/>
      <c r="B713" s="19" t="n"/>
      <c r="C713" s="19" t="n"/>
      <c r="D713" s="80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</row>
    <row r="714">
      <c r="A714" s="9" t="n"/>
      <c r="B714" s="19" t="n"/>
      <c r="C714" s="19" t="n"/>
      <c r="D714" s="80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</row>
    <row r="715">
      <c r="A715" s="9" t="n"/>
      <c r="B715" s="19" t="n"/>
      <c r="C715" s="19" t="n"/>
      <c r="D715" s="80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</row>
    <row r="716">
      <c r="A716" s="9" t="n"/>
      <c r="B716" s="19" t="n"/>
      <c r="C716" s="19" t="n"/>
      <c r="D716" s="80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</row>
    <row r="717">
      <c r="A717" s="9" t="n"/>
      <c r="B717" s="19" t="n"/>
      <c r="C717" s="19" t="n"/>
      <c r="D717" s="80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</row>
    <row r="718">
      <c r="A718" s="9" t="n"/>
      <c r="B718" s="19" t="n"/>
      <c r="C718" s="19" t="n"/>
      <c r="D718" s="80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</row>
    <row r="719">
      <c r="A719" s="9" t="n"/>
      <c r="B719" s="19" t="n"/>
      <c r="C719" s="19" t="n"/>
      <c r="D719" s="80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</row>
    <row r="720">
      <c r="A720" s="9" t="n"/>
      <c r="B720" s="19" t="n"/>
      <c r="C720" s="19" t="n"/>
      <c r="D720" s="80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</row>
    <row r="721">
      <c r="A721" s="9" t="n"/>
      <c r="B721" s="19" t="n"/>
      <c r="C721" s="19" t="n"/>
      <c r="D721" s="80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</row>
    <row r="722">
      <c r="A722" s="9" t="n"/>
      <c r="B722" s="19" t="n"/>
      <c r="C722" s="19" t="n"/>
      <c r="D722" s="80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</row>
    <row r="723">
      <c r="A723" s="9" t="n"/>
      <c r="B723" s="19" t="n"/>
      <c r="C723" s="19" t="n"/>
      <c r="D723" s="80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</row>
    <row r="724">
      <c r="A724" s="9" t="n"/>
      <c r="B724" s="19" t="n"/>
      <c r="C724" s="19" t="n"/>
      <c r="D724" s="80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</row>
    <row r="725">
      <c r="A725" s="9" t="n"/>
      <c r="B725" s="19" t="n"/>
      <c r="C725" s="19" t="n"/>
      <c r="D725" s="80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</row>
    <row r="726">
      <c r="A726" s="9" t="n"/>
      <c r="B726" s="19" t="n"/>
      <c r="C726" s="19" t="n"/>
      <c r="D726" s="80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</row>
    <row r="727">
      <c r="A727" s="9" t="n"/>
      <c r="B727" s="19" t="n"/>
      <c r="C727" s="19" t="n"/>
      <c r="D727" s="80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</row>
    <row r="728">
      <c r="A728" s="9" t="n"/>
      <c r="B728" s="19" t="n"/>
      <c r="C728" s="19" t="n"/>
      <c r="D728" s="80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</row>
    <row r="729">
      <c r="A729" s="9" t="n"/>
      <c r="B729" s="19" t="n"/>
      <c r="C729" s="19" t="n"/>
      <c r="D729" s="80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</row>
    <row r="730">
      <c r="A730" s="9" t="n"/>
      <c r="B730" s="19" t="n"/>
      <c r="C730" s="19" t="n"/>
      <c r="D730" s="80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</row>
    <row r="731">
      <c r="A731" s="9" t="n"/>
      <c r="B731" s="19" t="n"/>
      <c r="C731" s="19" t="n"/>
      <c r="D731" s="80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</row>
    <row r="732">
      <c r="A732" s="9" t="n"/>
      <c r="B732" s="19" t="n"/>
      <c r="C732" s="19" t="n"/>
      <c r="D732" s="80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</row>
    <row r="733">
      <c r="A733" s="9" t="n"/>
      <c r="B733" s="19" t="n"/>
      <c r="C733" s="19" t="n"/>
      <c r="D733" s="80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</row>
    <row r="734">
      <c r="A734" s="9" t="n"/>
      <c r="B734" s="19" t="n"/>
      <c r="C734" s="19" t="n"/>
      <c r="D734" s="80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</row>
    <row r="735">
      <c r="A735" s="9" t="n"/>
      <c r="B735" s="19" t="n"/>
      <c r="C735" s="19" t="n"/>
      <c r="D735" s="80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</row>
    <row r="736">
      <c r="A736" s="9" t="n"/>
      <c r="B736" s="19" t="n"/>
      <c r="C736" s="19" t="n"/>
      <c r="D736" s="80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</row>
    <row r="737">
      <c r="A737" s="9" t="n"/>
      <c r="B737" s="19" t="n"/>
      <c r="C737" s="19" t="n"/>
      <c r="D737" s="80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</row>
    <row r="738">
      <c r="A738" s="9" t="n"/>
      <c r="B738" s="19" t="n"/>
      <c r="C738" s="19" t="n"/>
      <c r="D738" s="80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</row>
    <row r="739">
      <c r="A739" s="9" t="n"/>
      <c r="B739" s="19" t="n"/>
      <c r="C739" s="19" t="n"/>
      <c r="D739" s="80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</row>
    <row r="740">
      <c r="A740" s="9" t="n"/>
      <c r="B740" s="19" t="n"/>
      <c r="C740" s="19" t="n"/>
      <c r="D740" s="80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</row>
    <row r="741">
      <c r="A741" s="9" t="n"/>
      <c r="B741" s="19" t="n"/>
      <c r="C741" s="19" t="n"/>
      <c r="D741" s="80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</row>
    <row r="742">
      <c r="A742" s="9" t="n"/>
      <c r="B742" s="19" t="n"/>
      <c r="C742" s="19" t="n"/>
      <c r="D742" s="80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</row>
    <row r="743">
      <c r="A743" s="9" t="n"/>
      <c r="B743" s="19" t="n"/>
      <c r="C743" s="19" t="n"/>
      <c r="D743" s="80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</row>
    <row r="744">
      <c r="A744" s="9" t="n"/>
      <c r="B744" s="19" t="n"/>
      <c r="C744" s="19" t="n"/>
      <c r="D744" s="80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</row>
    <row r="745">
      <c r="A745" s="9" t="n"/>
      <c r="B745" s="19" t="n"/>
      <c r="C745" s="19" t="n"/>
      <c r="D745" s="80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</row>
    <row r="746">
      <c r="A746" s="9" t="n"/>
      <c r="B746" s="19" t="n"/>
      <c r="C746" s="19" t="n"/>
      <c r="D746" s="80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</row>
    <row r="747">
      <c r="A747" s="9" t="n"/>
      <c r="B747" s="19" t="n"/>
      <c r="C747" s="19" t="n"/>
      <c r="D747" s="80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</row>
    <row r="748">
      <c r="A748" s="9" t="n"/>
      <c r="B748" s="19" t="n"/>
      <c r="C748" s="19" t="n"/>
      <c r="D748" s="80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</row>
    <row r="749">
      <c r="A749" s="9" t="n"/>
      <c r="B749" s="19" t="n"/>
      <c r="C749" s="19" t="n"/>
      <c r="D749" s="80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</row>
    <row r="750">
      <c r="A750" s="9" t="n"/>
      <c r="B750" s="19" t="n"/>
      <c r="C750" s="19" t="n"/>
      <c r="D750" s="80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</row>
    <row r="751">
      <c r="A751" s="9" t="n"/>
      <c r="B751" s="19" t="n"/>
      <c r="C751" s="19" t="n"/>
      <c r="D751" s="80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</row>
    <row r="752">
      <c r="A752" s="9" t="n"/>
      <c r="B752" s="19" t="n"/>
      <c r="C752" s="19" t="n"/>
      <c r="D752" s="80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</row>
    <row r="753">
      <c r="A753" s="9" t="n"/>
      <c r="B753" s="19" t="n"/>
      <c r="C753" s="19" t="n"/>
      <c r="D753" s="80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</row>
    <row r="754">
      <c r="A754" s="9" t="n"/>
      <c r="B754" s="19" t="n"/>
      <c r="C754" s="19" t="n"/>
      <c r="D754" s="80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</row>
    <row r="755">
      <c r="A755" s="9" t="n"/>
      <c r="B755" s="19" t="n"/>
      <c r="C755" s="19" t="n"/>
      <c r="D755" s="80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</row>
    <row r="756">
      <c r="A756" s="9" t="n"/>
      <c r="B756" s="19" t="n"/>
      <c r="C756" s="19" t="n"/>
      <c r="D756" s="80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</row>
    <row r="757">
      <c r="A757" s="9" t="n"/>
      <c r="B757" s="19" t="n"/>
      <c r="C757" s="19" t="n"/>
      <c r="D757" s="80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</row>
    <row r="758">
      <c r="A758" s="9" t="n"/>
      <c r="B758" s="19" t="n"/>
      <c r="C758" s="19" t="n"/>
      <c r="D758" s="80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</row>
    <row r="759">
      <c r="A759" s="9" t="n"/>
      <c r="B759" s="19" t="n"/>
      <c r="C759" s="19" t="n"/>
      <c r="D759" s="80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</row>
    <row r="760">
      <c r="A760" s="9" t="n"/>
      <c r="B760" s="19" t="n"/>
      <c r="C760" s="19" t="n"/>
      <c r="D760" s="80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</row>
    <row r="761">
      <c r="A761" s="9" t="n"/>
      <c r="B761" s="19" t="n"/>
      <c r="C761" s="19" t="n"/>
      <c r="D761" s="80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</row>
    <row r="762">
      <c r="A762" s="9" t="n"/>
      <c r="B762" s="19" t="n"/>
      <c r="C762" s="19" t="n"/>
      <c r="D762" s="80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</row>
    <row r="763">
      <c r="A763" s="9" t="n"/>
      <c r="B763" s="19" t="n"/>
      <c r="C763" s="19" t="n"/>
      <c r="D763" s="80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</row>
    <row r="764">
      <c r="A764" s="9" t="n"/>
      <c r="B764" s="19" t="n"/>
      <c r="C764" s="19" t="n"/>
      <c r="D764" s="80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</row>
    <row r="765">
      <c r="A765" s="9" t="n"/>
      <c r="B765" s="19" t="n"/>
      <c r="C765" s="19" t="n"/>
      <c r="D765" s="80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</row>
    <row r="766">
      <c r="A766" s="9" t="n"/>
      <c r="B766" s="19" t="n"/>
      <c r="C766" s="19" t="n"/>
      <c r="D766" s="80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</row>
    <row r="767">
      <c r="A767" s="9" t="n"/>
      <c r="B767" s="19" t="n"/>
      <c r="C767" s="19" t="n"/>
      <c r="D767" s="80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</row>
    <row r="768">
      <c r="A768" s="9" t="n"/>
      <c r="B768" s="19" t="n"/>
      <c r="C768" s="19" t="n"/>
      <c r="D768" s="80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</row>
    <row r="769">
      <c r="A769" s="9" t="n"/>
      <c r="B769" s="19" t="n"/>
      <c r="C769" s="19" t="n"/>
      <c r="D769" s="80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</row>
    <row r="770">
      <c r="A770" s="9" t="n"/>
      <c r="B770" s="19" t="n"/>
      <c r="C770" s="19" t="n"/>
      <c r="D770" s="80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</row>
    <row r="771">
      <c r="A771" s="9" t="n"/>
      <c r="B771" s="19" t="n"/>
      <c r="C771" s="19" t="n"/>
      <c r="D771" s="80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</row>
    <row r="772">
      <c r="A772" s="9" t="n"/>
      <c r="B772" s="19" t="n"/>
      <c r="C772" s="19" t="n"/>
      <c r="D772" s="80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</row>
    <row r="773">
      <c r="A773" s="9" t="n"/>
      <c r="B773" s="19" t="n"/>
      <c r="C773" s="19" t="n"/>
      <c r="D773" s="80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</row>
    <row r="774">
      <c r="A774" s="9" t="n"/>
      <c r="B774" s="19" t="n"/>
      <c r="C774" s="19" t="n"/>
      <c r="D774" s="80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</row>
    <row r="775">
      <c r="A775" s="9" t="n"/>
      <c r="B775" s="19" t="n"/>
      <c r="C775" s="19" t="n"/>
      <c r="D775" s="80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</row>
    <row r="776">
      <c r="A776" s="9" t="n"/>
      <c r="B776" s="19" t="n"/>
      <c r="C776" s="19" t="n"/>
      <c r="D776" s="80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</row>
    <row r="777">
      <c r="A777" s="9" t="n"/>
      <c r="B777" s="19" t="n"/>
      <c r="C777" s="19" t="n"/>
      <c r="D777" s="80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</row>
    <row r="778">
      <c r="A778" s="9" t="n"/>
      <c r="B778" s="19" t="n"/>
      <c r="C778" s="19" t="n"/>
      <c r="D778" s="80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</row>
    <row r="779">
      <c r="A779" s="9" t="n"/>
      <c r="B779" s="19" t="n"/>
      <c r="C779" s="19" t="n"/>
      <c r="D779" s="80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</row>
    <row r="780">
      <c r="A780" s="9" t="n"/>
      <c r="B780" s="19" t="n"/>
      <c r="C780" s="19" t="n"/>
      <c r="D780" s="80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</row>
    <row r="781">
      <c r="A781" s="9" t="n"/>
      <c r="B781" s="19" t="n"/>
      <c r="C781" s="19" t="n"/>
      <c r="D781" s="80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</row>
    <row r="782">
      <c r="A782" s="9" t="n"/>
      <c r="B782" s="19" t="n"/>
      <c r="C782" s="19" t="n"/>
      <c r="D782" s="80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</row>
    <row r="783">
      <c r="A783" s="9" t="n"/>
      <c r="B783" s="19" t="n"/>
      <c r="C783" s="19" t="n"/>
      <c r="D783" s="80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</row>
    <row r="784">
      <c r="A784" s="9" t="n"/>
      <c r="B784" s="19" t="n"/>
      <c r="C784" s="19" t="n"/>
      <c r="D784" s="80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</row>
    <row r="785">
      <c r="A785" s="9" t="n"/>
      <c r="B785" s="19" t="n"/>
      <c r="C785" s="19" t="n"/>
      <c r="D785" s="80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</row>
    <row r="786">
      <c r="A786" s="9" t="n"/>
      <c r="B786" s="19" t="n"/>
      <c r="C786" s="19" t="n"/>
      <c r="D786" s="80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</row>
    <row r="787">
      <c r="A787" s="9" t="n"/>
      <c r="B787" s="19" t="n"/>
      <c r="C787" s="19" t="n"/>
      <c r="D787" s="80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</row>
    <row r="788">
      <c r="A788" s="9" t="n"/>
      <c r="B788" s="19" t="n"/>
      <c r="C788" s="19" t="n"/>
      <c r="D788" s="80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</row>
    <row r="789">
      <c r="A789" s="9" t="n"/>
      <c r="B789" s="19" t="n"/>
      <c r="C789" s="19" t="n"/>
      <c r="D789" s="80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</row>
    <row r="790">
      <c r="A790" s="9" t="n"/>
      <c r="B790" s="19" t="n"/>
      <c r="C790" s="19" t="n"/>
      <c r="D790" s="80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</row>
    <row r="791">
      <c r="A791" s="9" t="n"/>
      <c r="B791" s="19" t="n"/>
      <c r="C791" s="19" t="n"/>
      <c r="D791" s="80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</row>
    <row r="792">
      <c r="A792" s="9" t="n"/>
      <c r="B792" s="19" t="n"/>
      <c r="C792" s="19" t="n"/>
      <c r="D792" s="80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</row>
    <row r="793">
      <c r="A793" s="9" t="n"/>
      <c r="B793" s="19" t="n"/>
      <c r="C793" s="19" t="n"/>
      <c r="D793" s="80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</row>
    <row r="794">
      <c r="A794" s="9" t="n"/>
      <c r="B794" s="19" t="n"/>
      <c r="C794" s="19" t="n"/>
      <c r="D794" s="80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</row>
    <row r="795">
      <c r="A795" s="9" t="n"/>
      <c r="B795" s="19" t="n"/>
      <c r="C795" s="19" t="n"/>
      <c r="D795" s="80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</row>
    <row r="796">
      <c r="A796" s="9" t="n"/>
      <c r="B796" s="19" t="n"/>
      <c r="C796" s="19" t="n"/>
      <c r="D796" s="80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</row>
    <row r="797">
      <c r="A797" s="9" t="n"/>
      <c r="B797" s="19" t="n"/>
      <c r="C797" s="19" t="n"/>
      <c r="D797" s="80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</row>
    <row r="798">
      <c r="A798" s="9" t="n"/>
      <c r="B798" s="19" t="n"/>
      <c r="C798" s="19" t="n"/>
      <c r="D798" s="80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</row>
    <row r="799">
      <c r="A799" s="9" t="n"/>
      <c r="B799" s="19" t="n"/>
      <c r="C799" s="19" t="n"/>
      <c r="D799" s="80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</row>
    <row r="800">
      <c r="A800" s="9" t="n"/>
      <c r="B800" s="19" t="n"/>
      <c r="C800" s="19" t="n"/>
      <c r="D800" s="80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</row>
    <row r="801">
      <c r="A801" s="9" t="n"/>
      <c r="B801" s="19" t="n"/>
      <c r="C801" s="19" t="n"/>
      <c r="D801" s="80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</row>
    <row r="802">
      <c r="A802" s="9" t="n"/>
      <c r="B802" s="19" t="n"/>
      <c r="C802" s="19" t="n"/>
      <c r="D802" s="80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</row>
    <row r="803">
      <c r="A803" s="9" t="n"/>
      <c r="B803" s="19" t="n"/>
      <c r="C803" s="19" t="n"/>
      <c r="D803" s="80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</row>
    <row r="804">
      <c r="A804" s="9" t="n"/>
      <c r="B804" s="19" t="n"/>
      <c r="C804" s="19" t="n"/>
      <c r="D804" s="80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</row>
    <row r="805">
      <c r="A805" s="9" t="n"/>
      <c r="B805" s="19" t="n"/>
      <c r="C805" s="19" t="n"/>
      <c r="D805" s="80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</row>
    <row r="806">
      <c r="A806" s="9" t="n"/>
      <c r="B806" s="19" t="n"/>
      <c r="C806" s="19" t="n"/>
      <c r="D806" s="80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</row>
    <row r="807">
      <c r="A807" s="9" t="n"/>
      <c r="B807" s="19" t="n"/>
      <c r="C807" s="19" t="n"/>
      <c r="D807" s="80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</row>
    <row r="808">
      <c r="A808" s="9" t="n"/>
      <c r="B808" s="19" t="n"/>
      <c r="C808" s="19" t="n"/>
      <c r="D808" s="80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</row>
    <row r="809">
      <c r="A809" s="9" t="n"/>
      <c r="B809" s="19" t="n"/>
      <c r="C809" s="19" t="n"/>
      <c r="D809" s="80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</row>
    <row r="810">
      <c r="A810" s="9" t="n"/>
      <c r="B810" s="19" t="n"/>
      <c r="C810" s="19" t="n"/>
      <c r="D810" s="80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</row>
    <row r="811">
      <c r="A811" s="9" t="n"/>
      <c r="B811" s="19" t="n"/>
      <c r="C811" s="19" t="n"/>
      <c r="D811" s="80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</row>
    <row r="812">
      <c r="A812" s="9" t="n"/>
      <c r="B812" s="19" t="n"/>
      <c r="C812" s="19" t="n"/>
      <c r="D812" s="80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</row>
    <row r="813">
      <c r="A813" s="9" t="n"/>
      <c r="B813" s="19" t="n"/>
      <c r="C813" s="19" t="n"/>
      <c r="D813" s="80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</row>
    <row r="814">
      <c r="A814" s="9" t="n"/>
      <c r="B814" s="19" t="n"/>
      <c r="C814" s="19" t="n"/>
      <c r="D814" s="80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</row>
    <row r="815">
      <c r="A815" s="9" t="n"/>
      <c r="B815" s="19" t="n"/>
      <c r="C815" s="19" t="n"/>
      <c r="D815" s="80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</row>
    <row r="816">
      <c r="A816" s="9" t="n"/>
      <c r="B816" s="19" t="n"/>
      <c r="C816" s="19" t="n"/>
      <c r="D816" s="80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</row>
    <row r="817">
      <c r="A817" s="9" t="n"/>
      <c r="B817" s="19" t="n"/>
      <c r="C817" s="19" t="n"/>
      <c r="D817" s="80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</row>
    <row r="818">
      <c r="A818" s="9" t="n"/>
      <c r="B818" s="19" t="n"/>
      <c r="C818" s="19" t="n"/>
      <c r="D818" s="80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</row>
    <row r="819">
      <c r="A819" s="9" t="n"/>
      <c r="B819" s="19" t="n"/>
      <c r="C819" s="19" t="n"/>
      <c r="D819" s="80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</row>
    <row r="820">
      <c r="A820" s="9" t="n"/>
      <c r="B820" s="19" t="n"/>
      <c r="C820" s="19" t="n"/>
      <c r="D820" s="80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</row>
    <row r="821">
      <c r="A821" s="9" t="n"/>
      <c r="B821" s="19" t="n"/>
      <c r="C821" s="19" t="n"/>
      <c r="D821" s="80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</row>
    <row r="822">
      <c r="A822" s="9" t="n"/>
      <c r="B822" s="19" t="n"/>
      <c r="C822" s="19" t="n"/>
      <c r="D822" s="80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</row>
    <row r="823">
      <c r="A823" s="9" t="n"/>
      <c r="B823" s="19" t="n"/>
      <c r="C823" s="19" t="n"/>
      <c r="D823" s="80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</row>
    <row r="824">
      <c r="A824" s="9" t="n"/>
      <c r="B824" s="19" t="n"/>
      <c r="C824" s="19" t="n"/>
      <c r="D824" s="80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</row>
    <row r="825">
      <c r="A825" s="9" t="n"/>
      <c r="B825" s="19" t="n"/>
      <c r="C825" s="19" t="n"/>
      <c r="D825" s="80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</row>
    <row r="826">
      <c r="A826" s="9" t="n"/>
      <c r="B826" s="19" t="n"/>
      <c r="C826" s="19" t="n"/>
      <c r="D826" s="80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</row>
    <row r="827">
      <c r="A827" s="9" t="n"/>
      <c r="B827" s="19" t="n"/>
      <c r="C827" s="19" t="n"/>
      <c r="D827" s="80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</row>
    <row r="828">
      <c r="A828" s="9" t="n"/>
      <c r="B828" s="19" t="n"/>
      <c r="C828" s="19" t="n"/>
      <c r="D828" s="80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</row>
    <row r="829">
      <c r="A829" s="9" t="n"/>
      <c r="B829" s="19" t="n"/>
      <c r="C829" s="19" t="n"/>
      <c r="D829" s="80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</row>
    <row r="830">
      <c r="A830" s="9" t="n"/>
      <c r="B830" s="19" t="n"/>
      <c r="C830" s="19" t="n"/>
      <c r="D830" s="80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</row>
    <row r="831">
      <c r="A831" s="9" t="n"/>
      <c r="B831" s="19" t="n"/>
      <c r="C831" s="19" t="n"/>
      <c r="D831" s="80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</row>
    <row r="832">
      <c r="A832" s="9" t="n"/>
      <c r="B832" s="19" t="n"/>
      <c r="C832" s="19" t="n"/>
      <c r="D832" s="80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</row>
    <row r="833">
      <c r="A833" s="9" t="n"/>
      <c r="B833" s="19" t="n"/>
      <c r="C833" s="19" t="n"/>
      <c r="D833" s="80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</row>
    <row r="834">
      <c r="A834" s="9" t="n"/>
      <c r="B834" s="19" t="n"/>
      <c r="C834" s="19" t="n"/>
      <c r="D834" s="80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</row>
    <row r="835">
      <c r="A835" s="9" t="n"/>
      <c r="B835" s="19" t="n"/>
      <c r="C835" s="19" t="n"/>
      <c r="D835" s="80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</row>
    <row r="836">
      <c r="A836" s="9" t="n"/>
      <c r="B836" s="19" t="n"/>
      <c r="C836" s="19" t="n"/>
      <c r="D836" s="80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</row>
    <row r="837">
      <c r="A837" s="9" t="n"/>
      <c r="B837" s="19" t="n"/>
      <c r="C837" s="19" t="n"/>
      <c r="D837" s="80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</row>
    <row r="838">
      <c r="A838" s="9" t="n"/>
      <c r="B838" s="19" t="n"/>
      <c r="C838" s="19" t="n"/>
      <c r="D838" s="80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</row>
    <row r="839">
      <c r="A839" s="9" t="n"/>
      <c r="B839" s="19" t="n"/>
      <c r="C839" s="19" t="n"/>
      <c r="D839" s="80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</row>
    <row r="840">
      <c r="A840" s="9" t="n"/>
      <c r="B840" s="19" t="n"/>
      <c r="C840" s="19" t="n"/>
      <c r="D840" s="80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</row>
    <row r="841">
      <c r="A841" s="9" t="n"/>
      <c r="B841" s="19" t="n"/>
      <c r="C841" s="19" t="n"/>
      <c r="D841" s="80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</row>
    <row r="842">
      <c r="A842" s="9" t="n"/>
      <c r="B842" s="19" t="n"/>
      <c r="C842" s="19" t="n"/>
      <c r="D842" s="80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</row>
    <row r="843">
      <c r="A843" s="9" t="n"/>
      <c r="B843" s="19" t="n"/>
      <c r="C843" s="19" t="n"/>
      <c r="D843" s="80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</row>
    <row r="844">
      <c r="A844" s="9" t="n"/>
      <c r="B844" s="19" t="n"/>
      <c r="C844" s="19" t="n"/>
      <c r="D844" s="80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</row>
    <row r="845">
      <c r="A845" s="9" t="n"/>
      <c r="B845" s="19" t="n"/>
      <c r="C845" s="19" t="n"/>
      <c r="D845" s="80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</row>
    <row r="846">
      <c r="A846" s="9" t="n"/>
      <c r="B846" s="19" t="n"/>
      <c r="C846" s="19" t="n"/>
      <c r="D846" s="80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</row>
    <row r="847">
      <c r="A847" s="9" t="n"/>
      <c r="B847" s="19" t="n"/>
      <c r="C847" s="19" t="n"/>
      <c r="D847" s="80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</row>
    <row r="848">
      <c r="A848" s="9" t="n"/>
      <c r="B848" s="19" t="n"/>
      <c r="C848" s="19" t="n"/>
      <c r="D848" s="80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</row>
    <row r="849">
      <c r="A849" s="9" t="n"/>
      <c r="B849" s="19" t="n"/>
      <c r="C849" s="19" t="n"/>
      <c r="D849" s="80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</row>
    <row r="850">
      <c r="A850" s="9" t="n"/>
      <c r="B850" s="19" t="n"/>
      <c r="C850" s="19" t="n"/>
      <c r="D850" s="80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</row>
    <row r="851">
      <c r="A851" s="9" t="n"/>
      <c r="B851" s="19" t="n"/>
      <c r="C851" s="19" t="n"/>
      <c r="D851" s="80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</row>
    <row r="852">
      <c r="A852" s="9" t="n"/>
      <c r="B852" s="19" t="n"/>
      <c r="C852" s="19" t="n"/>
      <c r="D852" s="80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</row>
    <row r="853">
      <c r="A853" s="9" t="n"/>
      <c r="B853" s="19" t="n"/>
      <c r="C853" s="19" t="n"/>
      <c r="D853" s="80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</row>
    <row r="854">
      <c r="A854" s="9" t="n"/>
      <c r="B854" s="19" t="n"/>
      <c r="C854" s="19" t="n"/>
      <c r="D854" s="80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</row>
    <row r="855">
      <c r="A855" s="9" t="n"/>
      <c r="B855" s="19" t="n"/>
      <c r="C855" s="19" t="n"/>
      <c r="D855" s="80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</row>
    <row r="856">
      <c r="A856" s="9" t="n"/>
      <c r="B856" s="19" t="n"/>
      <c r="C856" s="19" t="n"/>
      <c r="D856" s="80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</row>
    <row r="857">
      <c r="A857" s="9" t="n"/>
      <c r="B857" s="19" t="n"/>
      <c r="C857" s="19" t="n"/>
      <c r="D857" s="80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</row>
    <row r="858">
      <c r="A858" s="9" t="n"/>
      <c r="B858" s="19" t="n"/>
      <c r="C858" s="19" t="n"/>
      <c r="D858" s="80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</row>
    <row r="859">
      <c r="A859" s="9" t="n"/>
      <c r="B859" s="19" t="n"/>
      <c r="C859" s="19" t="n"/>
      <c r="D859" s="80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</row>
    <row r="860">
      <c r="A860" s="9" t="n"/>
      <c r="B860" s="19" t="n"/>
      <c r="C860" s="19" t="n"/>
      <c r="D860" s="80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</row>
    <row r="861">
      <c r="A861" s="9" t="n"/>
      <c r="B861" s="19" t="n"/>
      <c r="C861" s="19" t="n"/>
      <c r="D861" s="80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</row>
    <row r="862">
      <c r="A862" s="9" t="n"/>
      <c r="B862" s="19" t="n"/>
      <c r="C862" s="19" t="n"/>
      <c r="D862" s="80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</row>
    <row r="863">
      <c r="A863" s="9" t="n"/>
      <c r="B863" s="19" t="n"/>
      <c r="C863" s="19" t="n"/>
      <c r="D863" s="80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</row>
    <row r="864">
      <c r="A864" s="9" t="n"/>
      <c r="B864" s="19" t="n"/>
      <c r="C864" s="19" t="n"/>
      <c r="D864" s="80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</row>
    <row r="865">
      <c r="A865" s="9" t="n"/>
      <c r="B865" s="19" t="n"/>
      <c r="C865" s="19" t="n"/>
      <c r="D865" s="80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</row>
    <row r="866">
      <c r="A866" s="9" t="n"/>
      <c r="B866" s="19" t="n"/>
      <c r="C866" s="19" t="n"/>
      <c r="D866" s="80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</row>
    <row r="867">
      <c r="A867" s="9" t="n"/>
      <c r="B867" s="19" t="n"/>
      <c r="C867" s="19" t="n"/>
      <c r="D867" s="80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</row>
    <row r="868">
      <c r="A868" s="9" t="n"/>
      <c r="B868" s="19" t="n"/>
      <c r="C868" s="19" t="n"/>
      <c r="D868" s="80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</row>
    <row r="869">
      <c r="A869" s="9" t="n"/>
      <c r="B869" s="19" t="n"/>
      <c r="C869" s="19" t="n"/>
      <c r="D869" s="80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</row>
    <row r="870">
      <c r="A870" s="9" t="n"/>
      <c r="B870" s="19" t="n"/>
      <c r="C870" s="19" t="n"/>
      <c r="D870" s="80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</row>
    <row r="871">
      <c r="A871" s="9" t="n"/>
      <c r="B871" s="19" t="n"/>
      <c r="C871" s="19" t="n"/>
      <c r="D871" s="80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</row>
    <row r="872">
      <c r="A872" s="9" t="n"/>
      <c r="B872" s="19" t="n"/>
      <c r="C872" s="19" t="n"/>
      <c r="D872" s="80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</row>
    <row r="873">
      <c r="A873" s="9" t="n"/>
      <c r="B873" s="19" t="n"/>
      <c r="C873" s="19" t="n"/>
      <c r="D873" s="80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</row>
    <row r="874">
      <c r="A874" s="9" t="n"/>
      <c r="B874" s="19" t="n"/>
      <c r="C874" s="19" t="n"/>
      <c r="D874" s="80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</row>
    <row r="875">
      <c r="A875" s="9" t="n"/>
      <c r="B875" s="19" t="n"/>
      <c r="C875" s="19" t="n"/>
      <c r="D875" s="80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</row>
    <row r="876">
      <c r="A876" s="9" t="n"/>
      <c r="B876" s="19" t="n"/>
      <c r="C876" s="19" t="n"/>
      <c r="D876" s="80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</row>
    <row r="877">
      <c r="A877" s="9" t="n"/>
      <c r="B877" s="19" t="n"/>
      <c r="C877" s="19" t="n"/>
      <c r="D877" s="80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</row>
    <row r="878">
      <c r="A878" s="9" t="n"/>
      <c r="B878" s="19" t="n"/>
      <c r="C878" s="19" t="n"/>
      <c r="D878" s="80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</row>
    <row r="879">
      <c r="A879" s="9" t="n"/>
      <c r="B879" s="19" t="n"/>
      <c r="C879" s="19" t="n"/>
      <c r="D879" s="80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</row>
    <row r="880">
      <c r="A880" s="9" t="n"/>
      <c r="B880" s="19" t="n"/>
      <c r="C880" s="19" t="n"/>
      <c r="D880" s="80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</row>
    <row r="881">
      <c r="A881" s="9" t="n"/>
      <c r="B881" s="19" t="n"/>
      <c r="C881" s="19" t="n"/>
      <c r="D881" s="80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</row>
    <row r="882">
      <c r="A882" s="9" t="n"/>
      <c r="B882" s="19" t="n"/>
      <c r="C882" s="19" t="n"/>
      <c r="D882" s="80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</row>
    <row r="883">
      <c r="A883" s="9" t="n"/>
      <c r="B883" s="19" t="n"/>
      <c r="C883" s="19" t="n"/>
      <c r="D883" s="80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</row>
    <row r="884">
      <c r="A884" s="9" t="n"/>
      <c r="B884" s="19" t="n"/>
      <c r="C884" s="19" t="n"/>
      <c r="D884" s="80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</row>
    <row r="885">
      <c r="A885" s="9" t="n"/>
      <c r="B885" s="19" t="n"/>
      <c r="C885" s="19" t="n"/>
      <c r="D885" s="80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</row>
    <row r="886">
      <c r="A886" s="9" t="n"/>
      <c r="B886" s="19" t="n"/>
      <c r="C886" s="19" t="n"/>
      <c r="D886" s="80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</row>
    <row r="887">
      <c r="A887" s="9" t="n"/>
      <c r="B887" s="19" t="n"/>
      <c r="C887" s="19" t="n"/>
      <c r="D887" s="80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</row>
    <row r="888">
      <c r="A888" s="9" t="n"/>
      <c r="B888" s="19" t="n"/>
      <c r="C888" s="19" t="n"/>
      <c r="D888" s="80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</row>
    <row r="889">
      <c r="A889" s="9" t="n"/>
      <c r="B889" s="19" t="n"/>
      <c r="C889" s="19" t="n"/>
      <c r="D889" s="80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</row>
    <row r="890">
      <c r="A890" s="9" t="n"/>
      <c r="B890" s="19" t="n"/>
      <c r="C890" s="19" t="n"/>
      <c r="D890" s="80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</row>
    <row r="891">
      <c r="A891" s="9" t="n"/>
      <c r="B891" s="19" t="n"/>
      <c r="C891" s="19" t="n"/>
      <c r="D891" s="80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</row>
    <row r="892">
      <c r="A892" s="9" t="n"/>
      <c r="B892" s="19" t="n"/>
      <c r="C892" s="19" t="n"/>
      <c r="D892" s="80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</row>
    <row r="893">
      <c r="A893" s="9" t="n"/>
      <c r="B893" s="19" t="n"/>
      <c r="C893" s="19" t="n"/>
      <c r="D893" s="80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</row>
    <row r="894">
      <c r="A894" s="9" t="n"/>
      <c r="B894" s="19" t="n"/>
      <c r="C894" s="19" t="n"/>
      <c r="D894" s="80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</row>
    <row r="895">
      <c r="A895" s="9" t="n"/>
      <c r="B895" s="19" t="n"/>
      <c r="C895" s="19" t="n"/>
      <c r="D895" s="80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</row>
    <row r="896">
      <c r="A896" s="9" t="n"/>
      <c r="B896" s="19" t="n"/>
      <c r="C896" s="19" t="n"/>
      <c r="D896" s="80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</row>
    <row r="897">
      <c r="A897" s="9" t="n"/>
      <c r="B897" s="19" t="n"/>
      <c r="C897" s="19" t="n"/>
      <c r="D897" s="80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</row>
    <row r="898">
      <c r="A898" s="9" t="n"/>
      <c r="B898" s="19" t="n"/>
      <c r="C898" s="19" t="n"/>
      <c r="D898" s="80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</row>
    <row r="899">
      <c r="A899" s="9" t="n"/>
      <c r="B899" s="19" t="n"/>
      <c r="C899" s="19" t="n"/>
      <c r="D899" s="80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</row>
    <row r="900">
      <c r="A900" s="9" t="n"/>
      <c r="B900" s="19" t="n"/>
      <c r="C900" s="19" t="n"/>
      <c r="D900" s="80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</row>
    <row r="901">
      <c r="A901" s="9" t="n"/>
      <c r="B901" s="19" t="n"/>
      <c r="C901" s="19" t="n"/>
      <c r="D901" s="80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</row>
    <row r="902">
      <c r="A902" s="9" t="n"/>
      <c r="B902" s="19" t="n"/>
      <c r="C902" s="19" t="n"/>
      <c r="D902" s="80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</row>
    <row r="903">
      <c r="A903" s="9" t="n"/>
      <c r="B903" s="19" t="n"/>
      <c r="C903" s="19" t="n"/>
      <c r="D903" s="80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</row>
    <row r="904">
      <c r="A904" s="9" t="n"/>
      <c r="B904" s="19" t="n"/>
      <c r="C904" s="19" t="n"/>
      <c r="D904" s="80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</row>
    <row r="905">
      <c r="A905" s="9" t="n"/>
      <c r="B905" s="19" t="n"/>
      <c r="C905" s="19" t="n"/>
      <c r="D905" s="80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</row>
    <row r="906">
      <c r="A906" s="9" t="n"/>
      <c r="B906" s="19" t="n"/>
      <c r="C906" s="19" t="n"/>
      <c r="D906" s="80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</row>
    <row r="907">
      <c r="A907" s="9" t="n"/>
      <c r="B907" s="19" t="n"/>
      <c r="C907" s="19" t="n"/>
      <c r="D907" s="80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</row>
    <row r="908">
      <c r="A908" s="9" t="n"/>
      <c r="B908" s="19" t="n"/>
      <c r="C908" s="19" t="n"/>
      <c r="D908" s="80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</row>
    <row r="909">
      <c r="A909" s="9" t="n"/>
      <c r="B909" s="19" t="n"/>
      <c r="C909" s="19" t="n"/>
      <c r="D909" s="80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</row>
    <row r="910">
      <c r="A910" s="9" t="n"/>
      <c r="B910" s="19" t="n"/>
      <c r="C910" s="19" t="n"/>
      <c r="D910" s="80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</row>
    <row r="911">
      <c r="A911" s="9" t="n"/>
      <c r="B911" s="19" t="n"/>
      <c r="C911" s="19" t="n"/>
      <c r="D911" s="80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</row>
    <row r="912">
      <c r="A912" s="9" t="n"/>
      <c r="B912" s="19" t="n"/>
      <c r="C912" s="19" t="n"/>
      <c r="D912" s="80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</row>
    <row r="913">
      <c r="A913" s="9" t="n"/>
      <c r="B913" s="19" t="n"/>
      <c r="C913" s="19" t="n"/>
      <c r="D913" s="80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</row>
    <row r="914">
      <c r="A914" s="9" t="n"/>
      <c r="B914" s="19" t="n"/>
      <c r="C914" s="19" t="n"/>
      <c r="D914" s="80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</row>
    <row r="915">
      <c r="A915" s="9" t="n"/>
      <c r="B915" s="19" t="n"/>
      <c r="C915" s="19" t="n"/>
      <c r="D915" s="80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</row>
    <row r="916">
      <c r="A916" s="9" t="n"/>
      <c r="B916" s="19" t="n"/>
      <c r="C916" s="19" t="n"/>
      <c r="D916" s="80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</row>
    <row r="917">
      <c r="A917" s="9" t="n"/>
      <c r="B917" s="19" t="n"/>
      <c r="C917" s="19" t="n"/>
      <c r="D917" s="80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</row>
    <row r="918">
      <c r="A918" s="9" t="n"/>
      <c r="B918" s="19" t="n"/>
      <c r="C918" s="19" t="n"/>
      <c r="D918" s="80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</row>
    <row r="919">
      <c r="A919" s="9" t="n"/>
      <c r="B919" s="19" t="n"/>
      <c r="C919" s="19" t="n"/>
      <c r="D919" s="80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</row>
    <row r="920">
      <c r="A920" s="9" t="n"/>
      <c r="B920" s="19" t="n"/>
      <c r="C920" s="19" t="n"/>
      <c r="D920" s="80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</row>
    <row r="921">
      <c r="A921" s="9" t="n"/>
      <c r="B921" s="19" t="n"/>
      <c r="C921" s="19" t="n"/>
      <c r="D921" s="80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</row>
    <row r="922">
      <c r="A922" s="9" t="n"/>
      <c r="B922" s="19" t="n"/>
      <c r="C922" s="19" t="n"/>
      <c r="D922" s="80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</row>
    <row r="923">
      <c r="A923" s="9" t="n"/>
      <c r="B923" s="19" t="n"/>
      <c r="C923" s="19" t="n"/>
      <c r="D923" s="80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</row>
    <row r="924">
      <c r="A924" s="9" t="n"/>
      <c r="B924" s="19" t="n"/>
      <c r="C924" s="19" t="n"/>
      <c r="D924" s="80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</row>
    <row r="925">
      <c r="A925" s="9" t="n"/>
      <c r="B925" s="19" t="n"/>
      <c r="C925" s="19" t="n"/>
      <c r="D925" s="80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</row>
    <row r="926">
      <c r="A926" s="9" t="n"/>
      <c r="B926" s="19" t="n"/>
      <c r="C926" s="19" t="n"/>
      <c r="D926" s="80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</row>
    <row r="927">
      <c r="A927" s="9" t="n"/>
      <c r="B927" s="19" t="n"/>
      <c r="C927" s="19" t="n"/>
      <c r="D927" s="80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</row>
    <row r="928">
      <c r="A928" s="9" t="n"/>
      <c r="B928" s="19" t="n"/>
      <c r="C928" s="19" t="n"/>
      <c r="D928" s="80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</row>
    <row r="929">
      <c r="A929" s="9" t="n"/>
      <c r="B929" s="19" t="n"/>
      <c r="C929" s="19" t="n"/>
      <c r="D929" s="80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</row>
    <row r="930">
      <c r="A930" s="9" t="n"/>
      <c r="B930" s="19" t="n"/>
      <c r="C930" s="19" t="n"/>
      <c r="D930" s="80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</row>
    <row r="931">
      <c r="A931" s="9" t="n"/>
      <c r="B931" s="19" t="n"/>
      <c r="C931" s="19" t="n"/>
      <c r="D931" s="80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</row>
    <row r="932">
      <c r="A932" s="9" t="n"/>
      <c r="B932" s="19" t="n"/>
      <c r="C932" s="19" t="n"/>
      <c r="D932" s="80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</row>
    <row r="933">
      <c r="A933" s="9" t="n"/>
      <c r="B933" s="19" t="n"/>
      <c r="C933" s="19" t="n"/>
      <c r="D933" s="80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</row>
    <row r="934">
      <c r="A934" s="9" t="n"/>
      <c r="B934" s="19" t="n"/>
      <c r="C934" s="19" t="n"/>
      <c r="D934" s="80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</row>
    <row r="935">
      <c r="A935" s="9" t="n"/>
      <c r="B935" s="19" t="n"/>
      <c r="C935" s="19" t="n"/>
      <c r="D935" s="80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</row>
    <row r="936">
      <c r="A936" s="9" t="n"/>
      <c r="B936" s="19" t="n"/>
      <c r="C936" s="19" t="n"/>
      <c r="D936" s="80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</row>
    <row r="937">
      <c r="A937" s="9" t="n"/>
      <c r="B937" s="19" t="n"/>
      <c r="C937" s="19" t="n"/>
      <c r="D937" s="80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</row>
    <row r="938">
      <c r="A938" s="9" t="n"/>
      <c r="B938" s="19" t="n"/>
      <c r="C938" s="19" t="n"/>
      <c r="D938" s="80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</row>
    <row r="939">
      <c r="A939" s="9" t="n"/>
      <c r="B939" s="19" t="n"/>
      <c r="C939" s="19" t="n"/>
      <c r="D939" s="80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</row>
    <row r="940">
      <c r="A940" s="9" t="n"/>
      <c r="B940" s="19" t="n"/>
      <c r="C940" s="19" t="n"/>
      <c r="D940" s="80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</row>
    <row r="941">
      <c r="A941" s="9" t="n"/>
      <c r="B941" s="19" t="n"/>
      <c r="C941" s="19" t="n"/>
      <c r="D941" s="80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</row>
    <row r="942">
      <c r="A942" s="9" t="n"/>
      <c r="B942" s="19" t="n"/>
      <c r="C942" s="19" t="n"/>
      <c r="D942" s="80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</row>
    <row r="943">
      <c r="A943" s="9" t="n"/>
      <c r="B943" s="19" t="n"/>
      <c r="C943" s="19" t="n"/>
      <c r="D943" s="80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</row>
    <row r="944">
      <c r="A944" s="9" t="n"/>
      <c r="B944" s="19" t="n"/>
      <c r="C944" s="19" t="n"/>
      <c r="D944" s="80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</row>
    <row r="945">
      <c r="A945" s="9" t="n"/>
      <c r="B945" s="19" t="n"/>
      <c r="C945" s="19" t="n"/>
      <c r="D945" s="80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</row>
    <row r="946">
      <c r="A946" s="9" t="n"/>
      <c r="B946" s="19" t="n"/>
      <c r="C946" s="19" t="n"/>
      <c r="D946" s="80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</row>
    <row r="947">
      <c r="A947" s="9" t="n"/>
      <c r="B947" s="19" t="n"/>
      <c r="C947" s="19" t="n"/>
      <c r="D947" s="80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</row>
    <row r="948">
      <c r="A948" s="9" t="n"/>
      <c r="B948" s="19" t="n"/>
      <c r="C948" s="19" t="n"/>
      <c r="D948" s="80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</row>
    <row r="949">
      <c r="A949" s="9" t="n"/>
      <c r="B949" s="19" t="n"/>
      <c r="C949" s="19" t="n"/>
      <c r="D949" s="80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</row>
    <row r="950">
      <c r="A950" s="9" t="n"/>
      <c r="B950" s="19" t="n"/>
      <c r="C950" s="19" t="n"/>
      <c r="D950" s="80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</row>
    <row r="951">
      <c r="A951" s="9" t="n"/>
      <c r="B951" s="19" t="n"/>
      <c r="C951" s="19" t="n"/>
      <c r="D951" s="80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</row>
    <row r="952">
      <c r="A952" s="9" t="n"/>
      <c r="B952" s="19" t="n"/>
      <c r="C952" s="19" t="n"/>
      <c r="D952" s="80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</row>
    <row r="953">
      <c r="A953" s="9" t="n"/>
      <c r="B953" s="19" t="n"/>
      <c r="C953" s="19" t="n"/>
      <c r="D953" s="80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</row>
    <row r="954">
      <c r="A954" s="9" t="n"/>
      <c r="B954" s="19" t="n"/>
      <c r="C954" s="19" t="n"/>
      <c r="D954" s="80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</row>
    <row r="955">
      <c r="A955" s="9" t="n"/>
      <c r="B955" s="19" t="n"/>
      <c r="C955" s="19" t="n"/>
      <c r="D955" s="80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</row>
    <row r="956">
      <c r="A956" s="9" t="n"/>
      <c r="B956" s="19" t="n"/>
      <c r="C956" s="19" t="n"/>
      <c r="D956" s="80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</row>
    <row r="957">
      <c r="A957" s="9" t="n"/>
      <c r="B957" s="19" t="n"/>
      <c r="C957" s="19" t="n"/>
      <c r="D957" s="80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</row>
    <row r="958">
      <c r="A958" s="9" t="n"/>
      <c r="B958" s="19" t="n"/>
      <c r="C958" s="19" t="n"/>
      <c r="D958" s="80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</row>
    <row r="959">
      <c r="A959" s="9" t="n"/>
      <c r="B959" s="19" t="n"/>
      <c r="C959" s="19" t="n"/>
      <c r="D959" s="80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</row>
    <row r="960">
      <c r="A960" s="9" t="n"/>
      <c r="B960" s="19" t="n"/>
      <c r="C960" s="19" t="n"/>
      <c r="D960" s="80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</row>
    <row r="961">
      <c r="A961" s="9" t="n"/>
      <c r="B961" s="19" t="n"/>
      <c r="C961" s="19" t="n"/>
      <c r="D961" s="80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</row>
    <row r="962">
      <c r="A962" s="9" t="n"/>
      <c r="B962" s="19" t="n"/>
      <c r="C962" s="19" t="n"/>
      <c r="D962" s="80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</row>
    <row r="963">
      <c r="A963" s="9" t="n"/>
      <c r="B963" s="19" t="n"/>
      <c r="C963" s="19" t="n"/>
      <c r="D963" s="80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</row>
    <row r="964">
      <c r="A964" s="9" t="n"/>
      <c r="B964" s="19" t="n"/>
      <c r="C964" s="19" t="n"/>
      <c r="D964" s="80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</row>
    <row r="965">
      <c r="A965" s="9" t="n"/>
      <c r="B965" s="19" t="n"/>
      <c r="C965" s="19" t="n"/>
      <c r="D965" s="80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</row>
    <row r="966">
      <c r="A966" s="9" t="n"/>
      <c r="B966" s="19" t="n"/>
      <c r="C966" s="19" t="n"/>
      <c r="D966" s="80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</row>
    <row r="967">
      <c r="A967" s="9" t="n"/>
      <c r="B967" s="19" t="n"/>
      <c r="C967" s="19" t="n"/>
      <c r="D967" s="80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</row>
    <row r="968">
      <c r="A968" s="9" t="n"/>
      <c r="B968" s="19" t="n"/>
      <c r="C968" s="19" t="n"/>
      <c r="D968" s="80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</row>
    <row r="969">
      <c r="A969" s="9" t="n"/>
      <c r="B969" s="19" t="n"/>
      <c r="C969" s="19" t="n"/>
      <c r="D969" s="80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</row>
    <row r="970">
      <c r="A970" s="9" t="n"/>
      <c r="B970" s="19" t="n"/>
      <c r="C970" s="19" t="n"/>
      <c r="D970" s="80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</row>
    <row r="971">
      <c r="A971" s="9" t="n"/>
      <c r="B971" s="19" t="n"/>
      <c r="C971" s="19" t="n"/>
      <c r="D971" s="80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</row>
    <row r="972">
      <c r="A972" s="9" t="n"/>
      <c r="B972" s="19" t="n"/>
      <c r="C972" s="19" t="n"/>
      <c r="D972" s="80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</row>
    <row r="973">
      <c r="A973" s="9" t="n"/>
      <c r="B973" s="19" t="n"/>
      <c r="C973" s="19" t="n"/>
      <c r="D973" s="80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</row>
    <row r="974">
      <c r="A974" s="9" t="n"/>
      <c r="B974" s="19" t="n"/>
      <c r="C974" s="19" t="n"/>
      <c r="D974" s="80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</row>
    <row r="975">
      <c r="A975" s="9" t="n"/>
      <c r="B975" s="19" t="n"/>
      <c r="C975" s="19" t="n"/>
      <c r="D975" s="80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</row>
    <row r="976">
      <c r="A976" s="9" t="n"/>
      <c r="B976" s="19" t="n"/>
      <c r="C976" s="19" t="n"/>
      <c r="D976" s="80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</row>
    <row r="977">
      <c r="A977" s="9" t="n"/>
      <c r="B977" s="19" t="n"/>
      <c r="C977" s="19" t="n"/>
      <c r="D977" s="80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</row>
    <row r="978">
      <c r="A978" s="9" t="n"/>
      <c r="B978" s="19" t="n"/>
      <c r="C978" s="19" t="n"/>
      <c r="D978" s="80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</row>
    <row r="979">
      <c r="A979" s="9" t="n"/>
      <c r="B979" s="19" t="n"/>
      <c r="C979" s="19" t="n"/>
      <c r="D979" s="80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</row>
    <row r="980">
      <c r="A980" s="9" t="n"/>
      <c r="B980" s="19" t="n"/>
      <c r="C980" s="19" t="n"/>
      <c r="D980" s="80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</row>
    <row r="981">
      <c r="A981" s="9" t="n"/>
      <c r="B981" s="19" t="n"/>
      <c r="C981" s="19" t="n"/>
      <c r="D981" s="80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</row>
    <row r="982">
      <c r="A982" s="9" t="n"/>
      <c r="B982" s="19" t="n"/>
      <c r="C982" s="19" t="n"/>
      <c r="D982" s="80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</row>
    <row r="983">
      <c r="A983" s="9" t="n"/>
      <c r="B983" s="19" t="n"/>
      <c r="C983" s="19" t="n"/>
      <c r="D983" s="80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</row>
    <row r="984">
      <c r="A984" s="9" t="n"/>
      <c r="B984" s="19" t="n"/>
      <c r="C984" s="19" t="n"/>
      <c r="D984" s="80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</row>
    <row r="985">
      <c r="A985" s="9" t="n"/>
      <c r="B985" s="19" t="n"/>
      <c r="C985" s="19" t="n"/>
      <c r="D985" s="80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</row>
    <row r="986">
      <c r="A986" s="9" t="n"/>
      <c r="B986" s="19" t="n"/>
      <c r="C986" s="19" t="n"/>
      <c r="D986" s="80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</row>
    <row r="987">
      <c r="A987" s="9" t="n"/>
      <c r="B987" s="19" t="n"/>
      <c r="C987" s="19" t="n"/>
      <c r="D987" s="80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</row>
    <row r="988">
      <c r="A988" s="9" t="n"/>
      <c r="B988" s="19" t="n"/>
      <c r="C988" s="19" t="n"/>
      <c r="D988" s="80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</row>
    <row r="989">
      <c r="A989" s="9" t="n"/>
      <c r="B989" s="19" t="n"/>
      <c r="C989" s="19" t="n"/>
      <c r="D989" s="80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</row>
    <row r="990">
      <c r="A990" s="9" t="n"/>
      <c r="B990" s="19" t="n"/>
      <c r="C990" s="19" t="n"/>
      <c r="D990" s="80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</row>
    <row r="991">
      <c r="A991" s="9" t="n"/>
      <c r="B991" s="19" t="n"/>
      <c r="C991" s="19" t="n"/>
      <c r="D991" s="80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</row>
    <row r="992">
      <c r="A992" s="9" t="n"/>
      <c r="B992" s="19" t="n"/>
      <c r="C992" s="19" t="n"/>
      <c r="D992" s="80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</row>
    <row r="993">
      <c r="A993" s="9" t="n"/>
      <c r="B993" s="19" t="n"/>
      <c r="C993" s="19" t="n"/>
      <c r="D993" s="80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</row>
    <row r="994">
      <c r="A994" s="9" t="n"/>
      <c r="B994" s="19" t="n"/>
      <c r="C994" s="19" t="n"/>
      <c r="D994" s="80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</row>
    <row r="995">
      <c r="A995" s="9" t="n"/>
      <c r="B995" s="19" t="n"/>
      <c r="C995" s="19" t="n"/>
      <c r="D995" s="80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</row>
    <row r="996">
      <c r="A996" s="9" t="n"/>
      <c r="B996" s="19" t="n"/>
      <c r="C996" s="19" t="n"/>
      <c r="D996" s="80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</row>
    <row r="997">
      <c r="A997" s="9" t="n"/>
      <c r="B997" s="19" t="n"/>
      <c r="C997" s="19" t="n"/>
      <c r="D997" s="80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</row>
    <row r="998">
      <c r="A998" s="9" t="n"/>
      <c r="B998" s="19" t="n"/>
      <c r="C998" s="19" t="n"/>
      <c r="D998" s="80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</row>
    <row r="999">
      <c r="A999" s="9" t="n"/>
      <c r="B999" s="19" t="n"/>
      <c r="C999" s="19" t="n"/>
      <c r="D999" s="80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</row>
    <row r="1000">
      <c r="A1000" s="9" t="n"/>
      <c r="B1000" s="19" t="n"/>
      <c r="C1000" s="19" t="n"/>
      <c r="D1000" s="80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</row>
  </sheetData>
  <pageMargins left="0.7" right="0.7" top="0.75" bottom="0.75" header="0" footer="0"/>
  <pageSetup orientation="portrait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2019-01-20T15:51:15Z</dcterms:created>
  <dcterms:modified xmlns:dcterms="http://purl.org/dc/terms/" xmlns:xsi="http://www.w3.org/2001/XMLSchema-instance" xsi:type="dcterms:W3CDTF">2026-08-14T03:18:46Z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0x010100CAD7567327DC074B99EBE63FA907AEAA</vt:lpwstr>
  </property>
  <property name="AuthorIds_UIVersion_2560" fmtid="{D5CDD505-2E9C-101B-9397-08002B2CF9AE}" pid="3">
    <vt:lpwstr xmlns:vt="http://schemas.openxmlformats.org/officeDocument/2006/docPropsVTypes">17</vt:lpwstr>
  </property>
</Properties>
</file>